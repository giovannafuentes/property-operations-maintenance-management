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ofu\Documents\GIOVANNITA\CV`S GIO\GITHUB\Project Property Management\"/>
    </mc:Choice>
  </mc:AlternateContent>
  <xr:revisionPtr revIDLastSave="0" documentId="8_{E0C82BBC-C24B-4046-B2B1-1E9423565C2F}" xr6:coauthVersionLast="47" xr6:coauthVersionMax="47" xr10:uidLastSave="{00000000-0000-0000-0000-000000000000}"/>
  <bookViews>
    <workbookView xWindow="22770" yWindow="1140" windowWidth="28545" windowHeight="18405" activeTab="3" xr2:uid="{00000000-000D-0000-FFFF-FFFF00000000}"/>
  </bookViews>
  <sheets>
    <sheet name="Project Overview" sheetId="1" r:id="rId1"/>
    <sheet name="Maintenance Spend Data" sheetId="2" r:id="rId2"/>
    <sheet name="Analysis" sheetId="3" r:id="rId3"/>
    <sheet name="Savings Opportunities" sheetId="4" r:id="rId4"/>
    <sheet name="Vendor Master" sheetId="5" r:id="rId5"/>
    <sheet name="Property Master" sheetId="6" r:id="rId6"/>
    <sheet name="Assumptions" sheetId="7" r:id="rId7"/>
    <sheet name="Data Dictionary" sheetId="8" r:id="rId8"/>
    <sheet name="Hoja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4" l="1"/>
  <c r="U47" i="2"/>
  <c r="E28" i="4"/>
  <c r="B28" i="4"/>
  <c r="E27" i="4"/>
  <c r="C27" i="4"/>
  <c r="B27" i="4"/>
  <c r="E26" i="4"/>
  <c r="C26" i="4"/>
  <c r="B26" i="4"/>
  <c r="E25" i="4"/>
  <c r="C25" i="4"/>
  <c r="B25" i="4"/>
  <c r="E24" i="4"/>
  <c r="C24" i="4"/>
  <c r="B24" i="4"/>
  <c r="E23" i="4"/>
  <c r="C23" i="4"/>
  <c r="B23" i="4"/>
  <c r="E22" i="4"/>
  <c r="C22" i="4"/>
  <c r="B22" i="4"/>
  <c r="E21" i="4"/>
  <c r="C21" i="4"/>
  <c r="B21" i="4"/>
  <c r="E20" i="4"/>
  <c r="C20" i="4"/>
  <c r="B20" i="4"/>
  <c r="E19" i="4"/>
  <c r="C19" i="4"/>
  <c r="B19" i="4"/>
  <c r="E14" i="4"/>
  <c r="B14" i="4"/>
  <c r="E13" i="4"/>
  <c r="B13" i="4"/>
  <c r="E12" i="4"/>
  <c r="B12" i="4"/>
  <c r="E11" i="4"/>
  <c r="B11" i="4"/>
  <c r="E10" i="4"/>
  <c r="B10" i="4"/>
  <c r="E9" i="4"/>
  <c r="B9" i="4"/>
  <c r="E39" i="3"/>
  <c r="C39" i="3"/>
  <c r="B39" i="3"/>
  <c r="E38" i="3"/>
  <c r="C38" i="3"/>
  <c r="B38" i="3"/>
  <c r="E37" i="3"/>
  <c r="C37" i="3"/>
  <c r="B37" i="3"/>
  <c r="E36" i="3"/>
  <c r="C36" i="3"/>
  <c r="B36" i="3"/>
  <c r="E35" i="3"/>
  <c r="C35" i="3"/>
  <c r="B35" i="3"/>
  <c r="E34" i="3"/>
  <c r="C34" i="3"/>
  <c r="B34" i="3"/>
  <c r="E33" i="3"/>
  <c r="C33" i="3"/>
  <c r="B33" i="3"/>
  <c r="E32" i="3"/>
  <c r="C32" i="3"/>
  <c r="B32" i="3"/>
  <c r="E31" i="3"/>
  <c r="C31" i="3"/>
  <c r="B31" i="3"/>
  <c r="E30" i="3"/>
  <c r="C30" i="3"/>
  <c r="B30" i="3"/>
  <c r="B24" i="3"/>
  <c r="B23" i="3"/>
  <c r="D23" i="3" s="1"/>
  <c r="B22" i="3"/>
  <c r="B16" i="3"/>
  <c r="C16" i="3" s="1"/>
  <c r="C15" i="3"/>
  <c r="B15" i="3"/>
  <c r="B14" i="3"/>
  <c r="C14" i="3" s="1"/>
  <c r="B13" i="3"/>
  <c r="C13" i="3" s="1"/>
  <c r="B12" i="3"/>
  <c r="C12" i="3" s="1"/>
  <c r="B11" i="3"/>
  <c r="C11" i="3" s="1"/>
  <c r="D4" i="3"/>
  <c r="B4" i="3"/>
  <c r="T55" i="2"/>
  <c r="U55" i="2" s="1"/>
  <c r="V55" i="2" s="1"/>
  <c r="O55" i="2"/>
  <c r="P55" i="2" s="1"/>
  <c r="J55" i="2"/>
  <c r="I55" i="2"/>
  <c r="H55" i="2"/>
  <c r="F55" i="2"/>
  <c r="E55" i="2"/>
  <c r="C55" i="2"/>
  <c r="T54" i="2"/>
  <c r="U54" i="2" s="1"/>
  <c r="O54" i="2"/>
  <c r="P54" i="2" s="1"/>
  <c r="J54" i="2"/>
  <c r="I54" i="2"/>
  <c r="H54" i="2"/>
  <c r="F54" i="2"/>
  <c r="E54" i="2"/>
  <c r="C54" i="2"/>
  <c r="T53" i="2"/>
  <c r="U53" i="2" s="1"/>
  <c r="O53" i="2"/>
  <c r="P53" i="2" s="1"/>
  <c r="J53" i="2"/>
  <c r="I53" i="2"/>
  <c r="H53" i="2"/>
  <c r="F53" i="2"/>
  <c r="E53" i="2"/>
  <c r="C53" i="2"/>
  <c r="T52" i="2"/>
  <c r="U52" i="2" s="1"/>
  <c r="O52" i="2"/>
  <c r="P52" i="2" s="1"/>
  <c r="J52" i="2"/>
  <c r="I52" i="2"/>
  <c r="H52" i="2"/>
  <c r="F52" i="2"/>
  <c r="E52" i="2"/>
  <c r="C52" i="2"/>
  <c r="T51" i="2"/>
  <c r="U51" i="2" s="1"/>
  <c r="O51" i="2"/>
  <c r="P51" i="2" s="1"/>
  <c r="J51" i="2"/>
  <c r="I51" i="2"/>
  <c r="H51" i="2"/>
  <c r="F51" i="2"/>
  <c r="E51" i="2"/>
  <c r="C51" i="2"/>
  <c r="T50" i="2"/>
  <c r="U50" i="2" s="1"/>
  <c r="O50" i="2"/>
  <c r="P50" i="2" s="1"/>
  <c r="J50" i="2"/>
  <c r="I50" i="2"/>
  <c r="H50" i="2"/>
  <c r="F50" i="2"/>
  <c r="E50" i="2"/>
  <c r="C50" i="2"/>
  <c r="T49" i="2"/>
  <c r="U49" i="2" s="1"/>
  <c r="W49" i="2" s="1"/>
  <c r="O49" i="2"/>
  <c r="P49" i="2" s="1"/>
  <c r="J49" i="2"/>
  <c r="I49" i="2"/>
  <c r="H49" i="2"/>
  <c r="F49" i="2"/>
  <c r="E49" i="2"/>
  <c r="C49" i="2"/>
  <c r="T48" i="2"/>
  <c r="U48" i="2" s="1"/>
  <c r="O48" i="2"/>
  <c r="P48" i="2" s="1"/>
  <c r="J48" i="2"/>
  <c r="I48" i="2"/>
  <c r="H48" i="2"/>
  <c r="F48" i="2"/>
  <c r="E48" i="2"/>
  <c r="C48" i="2"/>
  <c r="T47" i="2"/>
  <c r="O47" i="2"/>
  <c r="P47" i="2" s="1"/>
  <c r="J47" i="2"/>
  <c r="I47" i="2"/>
  <c r="H47" i="2"/>
  <c r="F47" i="2"/>
  <c r="E47" i="2"/>
  <c r="C47" i="2"/>
  <c r="T46" i="2"/>
  <c r="U46" i="2" s="1"/>
  <c r="W46" i="2" s="1"/>
  <c r="O46" i="2"/>
  <c r="P46" i="2" s="1"/>
  <c r="J46" i="2"/>
  <c r="I46" i="2"/>
  <c r="H46" i="2"/>
  <c r="F46" i="2"/>
  <c r="E46" i="2"/>
  <c r="C46" i="2"/>
  <c r="T45" i="2"/>
  <c r="U45" i="2" s="1"/>
  <c r="O45" i="2"/>
  <c r="P45" i="2" s="1"/>
  <c r="J45" i="2"/>
  <c r="I45" i="2"/>
  <c r="H45" i="2"/>
  <c r="F45" i="2"/>
  <c r="E45" i="2"/>
  <c r="C45" i="2"/>
  <c r="T44" i="2"/>
  <c r="U44" i="2" s="1"/>
  <c r="P44" i="2"/>
  <c r="O44" i="2"/>
  <c r="J44" i="2"/>
  <c r="I44" i="2"/>
  <c r="H44" i="2"/>
  <c r="F44" i="2"/>
  <c r="E44" i="2"/>
  <c r="C44" i="2"/>
  <c r="T43" i="2"/>
  <c r="U43" i="2" s="1"/>
  <c r="O43" i="2"/>
  <c r="P43" i="2" s="1"/>
  <c r="J43" i="2"/>
  <c r="I43" i="2"/>
  <c r="H43" i="2"/>
  <c r="F43" i="2"/>
  <c r="E43" i="2"/>
  <c r="C43" i="2"/>
  <c r="T42" i="2"/>
  <c r="U42" i="2" s="1"/>
  <c r="O42" i="2"/>
  <c r="P42" i="2" s="1"/>
  <c r="J42" i="2"/>
  <c r="I42" i="2"/>
  <c r="H42" i="2"/>
  <c r="F42" i="2"/>
  <c r="E42" i="2"/>
  <c r="C42" i="2"/>
  <c r="T41" i="2"/>
  <c r="U41" i="2" s="1"/>
  <c r="O41" i="2"/>
  <c r="P41" i="2" s="1"/>
  <c r="J41" i="2"/>
  <c r="I41" i="2"/>
  <c r="H41" i="2"/>
  <c r="F41" i="2"/>
  <c r="E41" i="2"/>
  <c r="C41" i="2"/>
  <c r="T40" i="2"/>
  <c r="U40" i="2" s="1"/>
  <c r="O40" i="2"/>
  <c r="P40" i="2" s="1"/>
  <c r="J40" i="2"/>
  <c r="I40" i="2"/>
  <c r="H40" i="2"/>
  <c r="F40" i="2"/>
  <c r="E40" i="2"/>
  <c r="C40" i="2"/>
  <c r="T39" i="2"/>
  <c r="U39" i="2" s="1"/>
  <c r="O39" i="2"/>
  <c r="P39" i="2" s="1"/>
  <c r="J39" i="2"/>
  <c r="I39" i="2"/>
  <c r="H39" i="2"/>
  <c r="F39" i="2"/>
  <c r="E39" i="2"/>
  <c r="C39" i="2"/>
  <c r="T38" i="2"/>
  <c r="U38" i="2" s="1"/>
  <c r="V38" i="2" s="1"/>
  <c r="O38" i="2"/>
  <c r="P38" i="2" s="1"/>
  <c r="J38" i="2"/>
  <c r="I38" i="2"/>
  <c r="H38" i="2"/>
  <c r="F38" i="2"/>
  <c r="E38" i="2"/>
  <c r="C38" i="2"/>
  <c r="T37" i="2"/>
  <c r="U37" i="2" s="1"/>
  <c r="O37" i="2"/>
  <c r="P37" i="2" s="1"/>
  <c r="J37" i="2"/>
  <c r="I37" i="2"/>
  <c r="H37" i="2"/>
  <c r="F37" i="2"/>
  <c r="E37" i="2"/>
  <c r="C37" i="2"/>
  <c r="T36" i="2"/>
  <c r="U36" i="2" s="1"/>
  <c r="W36" i="2" s="1"/>
  <c r="O36" i="2"/>
  <c r="P36" i="2" s="1"/>
  <c r="J36" i="2"/>
  <c r="I36" i="2"/>
  <c r="H36" i="2"/>
  <c r="F36" i="2"/>
  <c r="E36" i="2"/>
  <c r="C36" i="2"/>
  <c r="T35" i="2"/>
  <c r="U35" i="2" s="1"/>
  <c r="O35" i="2"/>
  <c r="P35" i="2" s="1"/>
  <c r="J35" i="2"/>
  <c r="I35" i="2"/>
  <c r="H35" i="2"/>
  <c r="F35" i="2"/>
  <c r="E35" i="2"/>
  <c r="C35" i="2"/>
  <c r="T34" i="2"/>
  <c r="U34" i="2" s="1"/>
  <c r="O34" i="2"/>
  <c r="P34" i="2" s="1"/>
  <c r="J34" i="2"/>
  <c r="I34" i="2"/>
  <c r="H34" i="2"/>
  <c r="F34" i="2"/>
  <c r="E34" i="2"/>
  <c r="C34" i="2"/>
  <c r="T33" i="2"/>
  <c r="U33" i="2" s="1"/>
  <c r="O33" i="2"/>
  <c r="P33" i="2" s="1"/>
  <c r="J33" i="2"/>
  <c r="I33" i="2"/>
  <c r="H33" i="2"/>
  <c r="F33" i="2"/>
  <c r="E33" i="2"/>
  <c r="C33" i="2"/>
  <c r="T32" i="2"/>
  <c r="U32" i="2" s="1"/>
  <c r="O32" i="2"/>
  <c r="P32" i="2" s="1"/>
  <c r="J32" i="2"/>
  <c r="I32" i="2"/>
  <c r="H32" i="2"/>
  <c r="F32" i="2"/>
  <c r="E32" i="2"/>
  <c r="C32" i="2"/>
  <c r="T31" i="2"/>
  <c r="U31" i="2" s="1"/>
  <c r="O31" i="2"/>
  <c r="P31" i="2" s="1"/>
  <c r="J31" i="2"/>
  <c r="I31" i="2"/>
  <c r="H31" i="2"/>
  <c r="F31" i="2"/>
  <c r="E31" i="2"/>
  <c r="C31" i="2"/>
  <c r="T30" i="2"/>
  <c r="U30" i="2" s="1"/>
  <c r="O30" i="2"/>
  <c r="P30" i="2" s="1"/>
  <c r="J30" i="2"/>
  <c r="I30" i="2"/>
  <c r="H30" i="2"/>
  <c r="F30" i="2"/>
  <c r="E30" i="2"/>
  <c r="C30" i="2"/>
  <c r="T29" i="2"/>
  <c r="U29" i="2" s="1"/>
  <c r="W29" i="2" s="1"/>
  <c r="O29" i="2"/>
  <c r="P29" i="2" s="1"/>
  <c r="J29" i="2"/>
  <c r="I29" i="2"/>
  <c r="H29" i="2"/>
  <c r="F29" i="2"/>
  <c r="E29" i="2"/>
  <c r="C29" i="2"/>
  <c r="T28" i="2"/>
  <c r="U28" i="2" s="1"/>
  <c r="O28" i="2"/>
  <c r="P28" i="2" s="1"/>
  <c r="J28" i="2"/>
  <c r="I28" i="2"/>
  <c r="H28" i="2"/>
  <c r="F28" i="2"/>
  <c r="E28" i="2"/>
  <c r="C28" i="2"/>
  <c r="T27" i="2"/>
  <c r="U27" i="2" s="1"/>
  <c r="W27" i="2" s="1"/>
  <c r="O27" i="2"/>
  <c r="P27" i="2" s="1"/>
  <c r="J27" i="2"/>
  <c r="I27" i="2"/>
  <c r="H27" i="2"/>
  <c r="F27" i="2"/>
  <c r="E27" i="2"/>
  <c r="C27" i="2"/>
  <c r="T26" i="2"/>
  <c r="U26" i="2" s="1"/>
  <c r="O26" i="2"/>
  <c r="P26" i="2" s="1"/>
  <c r="J26" i="2"/>
  <c r="I26" i="2"/>
  <c r="H26" i="2"/>
  <c r="F26" i="2"/>
  <c r="E26" i="2"/>
  <c r="C26" i="2"/>
  <c r="T25" i="2"/>
  <c r="U25" i="2" s="1"/>
  <c r="O25" i="2"/>
  <c r="P25" i="2" s="1"/>
  <c r="J25" i="2"/>
  <c r="I25" i="2"/>
  <c r="H25" i="2"/>
  <c r="F25" i="2"/>
  <c r="E25" i="2"/>
  <c r="C25" i="2"/>
  <c r="T24" i="2"/>
  <c r="U24" i="2" s="1"/>
  <c r="O24" i="2"/>
  <c r="P24" i="2" s="1"/>
  <c r="J24" i="2"/>
  <c r="I24" i="2"/>
  <c r="H24" i="2"/>
  <c r="F24" i="2"/>
  <c r="E24" i="2"/>
  <c r="C24" i="2"/>
  <c r="T23" i="2"/>
  <c r="U23" i="2" s="1"/>
  <c r="O23" i="2"/>
  <c r="P23" i="2" s="1"/>
  <c r="J23" i="2"/>
  <c r="I23" i="2"/>
  <c r="H23" i="2"/>
  <c r="F23" i="2"/>
  <c r="E23" i="2"/>
  <c r="C23" i="2"/>
  <c r="T22" i="2"/>
  <c r="U22" i="2" s="1"/>
  <c r="O22" i="2"/>
  <c r="P22" i="2" s="1"/>
  <c r="J22" i="2"/>
  <c r="I22" i="2"/>
  <c r="H22" i="2"/>
  <c r="F22" i="2"/>
  <c r="E22" i="2"/>
  <c r="C22" i="2"/>
  <c r="T21" i="2"/>
  <c r="U21" i="2" s="1"/>
  <c r="O21" i="2"/>
  <c r="P21" i="2" s="1"/>
  <c r="J21" i="2"/>
  <c r="I21" i="2"/>
  <c r="H21" i="2"/>
  <c r="F21" i="2"/>
  <c r="E21" i="2"/>
  <c r="C21" i="2"/>
  <c r="T20" i="2"/>
  <c r="U20" i="2" s="1"/>
  <c r="O20" i="2"/>
  <c r="P20" i="2" s="1"/>
  <c r="J20" i="2"/>
  <c r="I20" i="2"/>
  <c r="H20" i="2"/>
  <c r="F20" i="2"/>
  <c r="E20" i="2"/>
  <c r="C20" i="2"/>
  <c r="T19" i="2"/>
  <c r="U19" i="2" s="1"/>
  <c r="O19" i="2"/>
  <c r="P19" i="2" s="1"/>
  <c r="J19" i="2"/>
  <c r="I19" i="2"/>
  <c r="H19" i="2"/>
  <c r="F19" i="2"/>
  <c r="E19" i="2"/>
  <c r="C19" i="2"/>
  <c r="T18" i="2"/>
  <c r="U18" i="2" s="1"/>
  <c r="O18" i="2"/>
  <c r="P18" i="2" s="1"/>
  <c r="J18" i="2"/>
  <c r="I18" i="2"/>
  <c r="H18" i="2"/>
  <c r="F18" i="2"/>
  <c r="E18" i="2"/>
  <c r="C18" i="2"/>
  <c r="T17" i="2"/>
  <c r="U17" i="2" s="1"/>
  <c r="O17" i="2"/>
  <c r="P17" i="2" s="1"/>
  <c r="J17" i="2"/>
  <c r="I17" i="2"/>
  <c r="H17" i="2"/>
  <c r="F17" i="2"/>
  <c r="E17" i="2"/>
  <c r="C17" i="2"/>
  <c r="T16" i="2"/>
  <c r="U16" i="2" s="1"/>
  <c r="W16" i="2" s="1"/>
  <c r="P16" i="2"/>
  <c r="O16" i="2"/>
  <c r="J16" i="2"/>
  <c r="I16" i="2"/>
  <c r="H16" i="2"/>
  <c r="F16" i="2"/>
  <c r="E16" i="2"/>
  <c r="C16" i="2"/>
  <c r="T15" i="2"/>
  <c r="U15" i="2" s="1"/>
  <c r="O15" i="2"/>
  <c r="P15" i="2" s="1"/>
  <c r="J15" i="2"/>
  <c r="I15" i="2"/>
  <c r="H15" i="2"/>
  <c r="F15" i="2"/>
  <c r="E15" i="2"/>
  <c r="C15" i="2"/>
  <c r="T14" i="2"/>
  <c r="U14" i="2" s="1"/>
  <c r="O14" i="2"/>
  <c r="P14" i="2" s="1"/>
  <c r="J14" i="2"/>
  <c r="I14" i="2"/>
  <c r="H14" i="2"/>
  <c r="F14" i="2"/>
  <c r="E14" i="2"/>
  <c r="C14" i="2"/>
  <c r="T13" i="2"/>
  <c r="U13" i="2" s="1"/>
  <c r="O13" i="2"/>
  <c r="P13" i="2" s="1"/>
  <c r="J13" i="2"/>
  <c r="I13" i="2"/>
  <c r="H13" i="2"/>
  <c r="F13" i="2"/>
  <c r="E13" i="2"/>
  <c r="C13" i="2"/>
  <c r="T12" i="2"/>
  <c r="U12" i="2" s="1"/>
  <c r="O12" i="2"/>
  <c r="P12" i="2" s="1"/>
  <c r="J12" i="2"/>
  <c r="I12" i="2"/>
  <c r="H12" i="2"/>
  <c r="F12" i="2"/>
  <c r="E12" i="2"/>
  <c r="C12" i="2"/>
  <c r="T11" i="2"/>
  <c r="U11" i="2" s="1"/>
  <c r="O11" i="2"/>
  <c r="P11" i="2" s="1"/>
  <c r="J11" i="2"/>
  <c r="I11" i="2"/>
  <c r="H11" i="2"/>
  <c r="F11" i="2"/>
  <c r="E11" i="2"/>
  <c r="C11" i="2"/>
  <c r="T10" i="2"/>
  <c r="U10" i="2" s="1"/>
  <c r="O10" i="2"/>
  <c r="P10" i="2" s="1"/>
  <c r="J10" i="2"/>
  <c r="I10" i="2"/>
  <c r="H10" i="2"/>
  <c r="F10" i="2"/>
  <c r="E10" i="2"/>
  <c r="C10" i="2"/>
  <c r="T9" i="2"/>
  <c r="U9" i="2" s="1"/>
  <c r="P9" i="2"/>
  <c r="O9" i="2"/>
  <c r="J9" i="2"/>
  <c r="I9" i="2"/>
  <c r="H9" i="2"/>
  <c r="F9" i="2"/>
  <c r="E9" i="2"/>
  <c r="C9" i="2"/>
  <c r="T8" i="2"/>
  <c r="U8" i="2" s="1"/>
  <c r="O8" i="2"/>
  <c r="P8" i="2" s="1"/>
  <c r="J8" i="2"/>
  <c r="I8" i="2"/>
  <c r="H8" i="2"/>
  <c r="F8" i="2"/>
  <c r="E8" i="2"/>
  <c r="C8" i="2"/>
  <c r="T7" i="2"/>
  <c r="U7" i="2" s="1"/>
  <c r="O7" i="2"/>
  <c r="P7" i="2" s="1"/>
  <c r="J7" i="2"/>
  <c r="I7" i="2"/>
  <c r="H7" i="2"/>
  <c r="F7" i="2"/>
  <c r="E7" i="2"/>
  <c r="C7" i="2"/>
  <c r="T6" i="2"/>
  <c r="U6" i="2" s="1"/>
  <c r="O6" i="2"/>
  <c r="P6" i="2" s="1"/>
  <c r="J6" i="2"/>
  <c r="I6" i="2"/>
  <c r="H6" i="2"/>
  <c r="F6" i="2"/>
  <c r="E6" i="2"/>
  <c r="C6" i="2"/>
  <c r="T5" i="2"/>
  <c r="U5" i="2" s="1"/>
  <c r="O5" i="2"/>
  <c r="P5" i="2" s="1"/>
  <c r="J5" i="2"/>
  <c r="I5" i="2"/>
  <c r="H5" i="2"/>
  <c r="F5" i="2"/>
  <c r="E5" i="2"/>
  <c r="C5" i="2"/>
  <c r="T4" i="2"/>
  <c r="U4" i="2" s="1"/>
  <c r="V4" i="2" s="1"/>
  <c r="P4" i="2"/>
  <c r="O4" i="2"/>
  <c r="J4" i="2"/>
  <c r="I4" i="2"/>
  <c r="H4" i="2"/>
  <c r="F4" i="2"/>
  <c r="E4" i="2"/>
  <c r="C4" i="2"/>
  <c r="T3" i="2"/>
  <c r="U3" i="2" s="1"/>
  <c r="O3" i="2"/>
  <c r="P3" i="2" s="1"/>
  <c r="J3" i="2"/>
  <c r="I3" i="2"/>
  <c r="H3" i="2"/>
  <c r="F3" i="2"/>
  <c r="E3" i="2"/>
  <c r="C3" i="2"/>
  <c r="T2" i="2"/>
  <c r="U2" i="2" s="1"/>
  <c r="O2" i="2"/>
  <c r="P2" i="2" s="1"/>
  <c r="J2" i="2"/>
  <c r="I2" i="2"/>
  <c r="H2" i="2"/>
  <c r="F2" i="2"/>
  <c r="E2" i="2"/>
  <c r="C2" i="2"/>
  <c r="D24" i="3" l="1"/>
  <c r="H26" i="3"/>
  <c r="V27" i="2"/>
  <c r="W38" i="2"/>
  <c r="W44" i="2"/>
  <c r="V44" i="2"/>
  <c r="W3" i="2"/>
  <c r="V3" i="2"/>
  <c r="W25" i="2"/>
  <c r="V25" i="2"/>
  <c r="W14" i="2"/>
  <c r="V14" i="2"/>
  <c r="F12" i="3"/>
  <c r="G31" i="3"/>
  <c r="H31" i="3"/>
  <c r="I31" i="3" s="1"/>
  <c r="F4" i="3"/>
  <c r="D22" i="3"/>
  <c r="V36" i="2"/>
  <c r="V49" i="2"/>
  <c r="D12" i="3"/>
  <c r="G12" i="3" s="1"/>
  <c r="D13" i="3"/>
  <c r="G13" i="3" s="1"/>
  <c r="W22" i="2"/>
  <c r="V22" i="2"/>
  <c r="W35" i="2"/>
  <c r="V35" i="2"/>
  <c r="W40" i="2"/>
  <c r="V40" i="2"/>
  <c r="C24" i="3"/>
  <c r="D33" i="3"/>
  <c r="D22" i="4"/>
  <c r="C9" i="4"/>
  <c r="W9" i="2"/>
  <c r="V9" i="2"/>
  <c r="H24" i="3"/>
  <c r="W33" i="2"/>
  <c r="V33" i="2"/>
  <c r="W42" i="2"/>
  <c r="V42" i="2"/>
  <c r="V15" i="2"/>
  <c r="W15" i="2"/>
  <c r="W37" i="2"/>
  <c r="V37" i="2"/>
  <c r="V6" i="2"/>
  <c r="W6" i="2"/>
  <c r="C22" i="3"/>
  <c r="D20" i="4"/>
  <c r="D31" i="3"/>
  <c r="D35" i="3"/>
  <c r="V7" i="2"/>
  <c r="W7" i="2"/>
  <c r="D36" i="3"/>
  <c r="D25" i="4"/>
  <c r="W20" i="2"/>
  <c r="V20" i="2"/>
  <c r="V51" i="2"/>
  <c r="W51" i="2"/>
  <c r="V28" i="2"/>
  <c r="W28" i="2"/>
  <c r="W50" i="2"/>
  <c r="V50" i="2"/>
  <c r="D24" i="4"/>
  <c r="C12" i="4"/>
  <c r="V13" i="2"/>
  <c r="W13" i="2"/>
  <c r="W18" i="2"/>
  <c r="V18" i="2"/>
  <c r="W26" i="2"/>
  <c r="V26" i="2"/>
  <c r="W31" i="2"/>
  <c r="V31" i="2"/>
  <c r="W53" i="2"/>
  <c r="V53" i="2"/>
  <c r="W39" i="2"/>
  <c r="V39" i="2"/>
  <c r="W48" i="2"/>
  <c r="V48" i="2"/>
  <c r="W24" i="2"/>
  <c r="V24" i="2"/>
  <c r="W47" i="2"/>
  <c r="V47" i="2"/>
  <c r="V30" i="2"/>
  <c r="W30" i="2"/>
  <c r="C11" i="4"/>
  <c r="D30" i="3"/>
  <c r="W41" i="2"/>
  <c r="V41" i="2"/>
  <c r="V16" i="2"/>
  <c r="H25" i="3"/>
  <c r="D21" i="4"/>
  <c r="W10" i="2"/>
  <c r="V10" i="2"/>
  <c r="D32" i="3"/>
  <c r="D19" i="4"/>
  <c r="W54" i="2"/>
  <c r="V54" i="2"/>
  <c r="G26" i="3"/>
  <c r="I26" i="3" s="1"/>
  <c r="W32" i="2"/>
  <c r="V32" i="2"/>
  <c r="V11" i="2"/>
  <c r="W45" i="2"/>
  <c r="V45" i="2"/>
  <c r="W43" i="2"/>
  <c r="V43" i="2"/>
  <c r="F13" i="3"/>
  <c r="V8" i="2"/>
  <c r="D38" i="3"/>
  <c r="D27" i="4"/>
  <c r="W8" i="2"/>
  <c r="V29" i="2"/>
  <c r="V46" i="2"/>
  <c r="W11" i="2"/>
  <c r="D37" i="3"/>
  <c r="H23" i="3"/>
  <c r="H29" i="3"/>
  <c r="G23" i="3"/>
  <c r="G29" i="3"/>
  <c r="H28" i="3"/>
  <c r="G28" i="3"/>
  <c r="H22" i="3"/>
  <c r="H27" i="3"/>
  <c r="G22" i="3"/>
  <c r="W23" i="2"/>
  <c r="V23" i="2"/>
  <c r="F15" i="3"/>
  <c r="W5" i="2"/>
  <c r="D15" i="3"/>
  <c r="G15" i="3" s="1"/>
  <c r="W52" i="2"/>
  <c r="V52" i="2"/>
  <c r="G24" i="3"/>
  <c r="F6" i="3"/>
  <c r="W55" i="2"/>
  <c r="G25" i="3"/>
  <c r="B4" i="4"/>
  <c r="F4" i="4" s="1"/>
  <c r="H4" i="3"/>
  <c r="B12" i="1" s="1"/>
  <c r="C14" i="4"/>
  <c r="V2" i="2"/>
  <c r="G27" i="3"/>
  <c r="W2" i="2"/>
  <c r="F14" i="3"/>
  <c r="D14" i="3"/>
  <c r="G14" i="3" s="1"/>
  <c r="D34" i="3"/>
  <c r="V19" i="2"/>
  <c r="W19" i="2"/>
  <c r="D23" i="4"/>
  <c r="B11" i="1"/>
  <c r="H6" i="3"/>
  <c r="D6" i="3"/>
  <c r="D16" i="3"/>
  <c r="G16" i="3" s="1"/>
  <c r="W34" i="2"/>
  <c r="V34" i="2"/>
  <c r="G30" i="3"/>
  <c r="C10" i="4"/>
  <c r="C13" i="4"/>
  <c r="V5" i="2"/>
  <c r="W12" i="2"/>
  <c r="V12" i="2"/>
  <c r="C23" i="3"/>
  <c r="W4" i="2"/>
  <c r="V21" i="2"/>
  <c r="W21" i="2"/>
  <c r="W17" i="2"/>
  <c r="D26" i="4"/>
  <c r="V17" i="2"/>
  <c r="F16" i="3"/>
  <c r="H30" i="3"/>
  <c r="D11" i="3"/>
  <c r="G11" i="3" s="1"/>
  <c r="D39" i="3"/>
  <c r="F11" i="3"/>
  <c r="D28" i="4"/>
  <c r="I24" i="3" l="1"/>
  <c r="I30" i="3"/>
  <c r="I29" i="3"/>
  <c r="D12" i="4"/>
  <c r="E16" i="3"/>
  <c r="I27" i="3"/>
  <c r="E13" i="3"/>
  <c r="E12" i="3"/>
  <c r="D10" i="4"/>
  <c r="E15" i="3"/>
  <c r="I22" i="3"/>
  <c r="I28" i="3"/>
  <c r="B6" i="3"/>
  <c r="B13" i="1" s="1"/>
  <c r="D14" i="4"/>
  <c r="D4" i="4"/>
  <c r="I23" i="3"/>
  <c r="E14" i="3"/>
  <c r="E11" i="3"/>
  <c r="I25" i="3"/>
  <c r="D13" i="4"/>
  <c r="D9" i="4"/>
  <c r="D11" i="4"/>
</calcChain>
</file>

<file path=xl/sharedStrings.xml><?xml version="1.0" encoding="utf-8"?>
<sst xmlns="http://schemas.openxmlformats.org/spreadsheetml/2006/main" count="852" uniqueCount="298">
  <si>
    <t>Property Operations &amp; Maintenance — Financial Analysis Workbook</t>
  </si>
  <si>
    <t>Portfolio project | Operations + Vendor Management + Maintenance Spend + Savings Opportunities</t>
  </si>
  <si>
    <t>Objective</t>
  </si>
  <si>
    <t>Use six months of synthetic maintenance expense data to analyze spend by property, maintenance type, service category and vendor; identify budget leakage; quantify modeled savings opportunities; and connect the financial story to the Notion + Make property-operations workflow.</t>
  </si>
  <si>
    <t>Key Financial Outputs</t>
  </si>
  <si>
    <t>Metric</t>
  </si>
  <si>
    <t>Value</t>
  </si>
  <si>
    <t>Sheet</t>
  </si>
  <si>
    <t>Purpose</t>
  </si>
  <si>
    <t>Total Actual Spend ($)</t>
  </si>
  <si>
    <t>Maintenance Spend Data</t>
  </si>
  <si>
    <t>Transaction-level dataset with linked master data and formula-driven savings estimates.</t>
  </si>
  <si>
    <t>Potential Savings ($)</t>
  </si>
  <si>
    <t>Analysis</t>
  </si>
  <si>
    <t>KPIs plus spend analysis by property, maintenance type, category and vendor.</t>
  </si>
  <si>
    <t>Annualized Savings ($)</t>
  </si>
  <si>
    <t>Savings Opportunities</t>
  </si>
  <si>
    <t>Modeled savings by driver and vendor, with recommended management actions.</t>
  </si>
  <si>
    <t>Vendor Master</t>
  </si>
  <si>
    <t>Vendor attributes aligned to the Notion portfolio database.</t>
  </si>
  <si>
    <t>Property Master</t>
  </si>
  <si>
    <t>Property attributes and annual maintenance budgets aligned to the Notion portfolio database.</t>
  </si>
  <si>
    <t>Assumptions</t>
  </si>
  <si>
    <t>Editable savings rates and analysis period assumptions.</t>
  </si>
  <si>
    <t>How to Work With This Workbook</t>
  </si>
  <si>
    <t>Step</t>
  </si>
  <si>
    <t>Action</t>
  </si>
  <si>
    <t>1</t>
  </si>
  <si>
    <t>Review the blue-font inputs in Maintenance Spend Data. Formula cells should not be overwritten.</t>
  </si>
  <si>
    <t>2</t>
  </si>
  <si>
    <t>Use the dropdowns to change property, vendor, maintenance type, invoice status, or savings driver.</t>
  </si>
  <si>
    <t>3</t>
  </si>
  <si>
    <t>Adjust the yellow savings-rate assumptions to stress-test the opportunity model.</t>
  </si>
  <si>
    <t>4</t>
  </si>
  <si>
    <t>Use Analysis to explain where spend is concentrated and where cost leakage appears.</t>
  </si>
  <si>
    <t>5</t>
  </si>
  <si>
    <t>Use Savings Opportunities to build an executive recommendation: what to address first, why, and estimated financial impact.</t>
  </si>
  <si>
    <t>Financial Model Color Convention</t>
  </si>
  <si>
    <t>Color</t>
  </si>
  <si>
    <t>Meaning</t>
  </si>
  <si>
    <t>Blue font</t>
  </si>
  <si>
    <t>Hardcoded / editable inputs</t>
  </si>
  <si>
    <t>Green font</t>
  </si>
  <si>
    <t>Links to another worksheet</t>
  </si>
  <si>
    <t>Yellow fill</t>
  </si>
  <si>
    <t>Key assumptions to review / change</t>
  </si>
  <si>
    <t>Disclosure: This workbook is a portfolio demonstration using synthetic maintenance expenses. Property and vendor master records are aligned to the fictional Notion property-operations project. Savings percentages are scenario assumptions, not guaranteed realized savings.</t>
  </si>
  <si>
    <t>Expense ID</t>
  </si>
  <si>
    <t>Expense Date</t>
  </si>
  <si>
    <t>Expense Month</t>
  </si>
  <si>
    <t>Property ID</t>
  </si>
  <si>
    <t>Property Name</t>
  </si>
  <si>
    <t>Property Type</t>
  </si>
  <si>
    <t>Vendor</t>
  </si>
  <si>
    <t>Service Category</t>
  </si>
  <si>
    <t>Preferred Vendor</t>
  </si>
  <si>
    <t>Vendor Rating</t>
  </si>
  <si>
    <t>Maintenance Type</t>
  </si>
  <si>
    <t>Priority</t>
  </si>
  <si>
    <t>Budgeted Cost ($)</t>
  </si>
  <si>
    <t>Actual Cost ($)</t>
  </si>
  <si>
    <t>Variance ($)</t>
  </si>
  <si>
    <t>Variance %</t>
  </si>
  <si>
    <t>Preventable Emergency?</t>
  </si>
  <si>
    <t>Invoice Status</t>
  </si>
  <si>
    <t>Savings Driver</t>
  </si>
  <si>
    <t>Savings Rate</t>
  </si>
  <si>
    <t>Net Cost After Savings ($)</t>
  </si>
  <si>
    <t>Notes</t>
  </si>
  <si>
    <t>EXP-001</t>
  </si>
  <si>
    <t>BlueSky HVAC Services</t>
  </si>
  <si>
    <t>Preventive</t>
  </si>
  <si>
    <t>Medium</t>
  </si>
  <si>
    <t>N/A</t>
  </si>
  <si>
    <t>Paid</t>
  </si>
  <si>
    <t>None</t>
  </si>
  <si>
    <t>Routine spend; no immediate savings action identified.</t>
  </si>
  <si>
    <t>EXP-002</t>
  </si>
  <si>
    <t>ClearPath Janitorial</t>
  </si>
  <si>
    <t>Non-Preferred Vendor</t>
  </si>
  <si>
    <t>Non-preferred vendor spend; review sourcing or negotiated rates.</t>
  </si>
  <si>
    <t>EXP-003</t>
  </si>
  <si>
    <t>Corrective</t>
  </si>
  <si>
    <t>High</t>
  </si>
  <si>
    <t>Approved</t>
  </si>
  <si>
    <t>EXP-004</t>
  </si>
  <si>
    <t>AllPro Building Services</t>
  </si>
  <si>
    <t>Pending</t>
  </si>
  <si>
    <t>EXP-005</t>
  </si>
  <si>
    <t>EXP-006</t>
  </si>
  <si>
    <t>SafeGuard Fire Systems</t>
  </si>
  <si>
    <t>EXP-007</t>
  </si>
  <si>
    <t>Summit Roofing Group</t>
  </si>
  <si>
    <t>EXP-008</t>
  </si>
  <si>
    <t>Evergreen Grounds</t>
  </si>
  <si>
    <t>Emergency</t>
  </si>
  <si>
    <t>Critical</t>
  </si>
  <si>
    <t>Yes</t>
  </si>
  <si>
    <t>Preventable Emergency</t>
  </si>
  <si>
    <t>Emergency event potentially avoidable through stronger PM cadence.</t>
  </si>
  <si>
    <t>EXP-009</t>
  </si>
  <si>
    <t>EXP-010</t>
  </si>
  <si>
    <t>Budget Overrun Review</t>
  </si>
  <si>
    <t>Actual cost materially exceeded the approved estimate.</t>
  </si>
  <si>
    <t>EXP-011</t>
  </si>
  <si>
    <t>RapidFlow Plumbing</t>
  </si>
  <si>
    <t>EXP-012</t>
  </si>
  <si>
    <t>Preventive Optimization</t>
  </si>
  <si>
    <t>Review PM scope/frequency for cost-efficiency.</t>
  </si>
  <si>
    <t>EXP-013</t>
  </si>
  <si>
    <t>VoltPro Electrical</t>
  </si>
  <si>
    <t>EXP-014</t>
  </si>
  <si>
    <t>EXP-015</t>
  </si>
  <si>
    <t>EXP-016</t>
  </si>
  <si>
    <t>Shield Pest Solutions</t>
  </si>
  <si>
    <t>EXP-017</t>
  </si>
  <si>
    <t>EXP-018</t>
  </si>
  <si>
    <t>PrimeLift Elevator Co.</t>
  </si>
  <si>
    <t>EXP-019</t>
  </si>
  <si>
    <t>EXP-020</t>
  </si>
  <si>
    <t>EXP-021</t>
  </si>
  <si>
    <t>EXP-022</t>
  </si>
  <si>
    <t>EXP-023</t>
  </si>
  <si>
    <t>No</t>
  </si>
  <si>
    <t>EXP-024</t>
  </si>
  <si>
    <t>EXP-025</t>
  </si>
  <si>
    <t>EXP-026</t>
  </si>
  <si>
    <t>EXP-027</t>
  </si>
  <si>
    <t>EXP-028</t>
  </si>
  <si>
    <t>EXP-029</t>
  </si>
  <si>
    <t>Vendor Consolidation</t>
  </si>
  <si>
    <t>Recurring service may benefit from portfolio-wide bundling.</t>
  </si>
  <si>
    <t>EXP-030</t>
  </si>
  <si>
    <t>EXP-031</t>
  </si>
  <si>
    <t>EXP-032</t>
  </si>
  <si>
    <t>EXP-033</t>
  </si>
  <si>
    <t>EXP-034</t>
  </si>
  <si>
    <t>EXP-035</t>
  </si>
  <si>
    <t>EXP-036</t>
  </si>
  <si>
    <t>EXP-037</t>
  </si>
  <si>
    <t>EXP-038</t>
  </si>
  <si>
    <t>EXP-039</t>
  </si>
  <si>
    <t>EXP-040</t>
  </si>
  <si>
    <t>EXP-041</t>
  </si>
  <si>
    <t>EXP-042</t>
  </si>
  <si>
    <t>EXP-043</t>
  </si>
  <si>
    <t>EXP-044</t>
  </si>
  <si>
    <t>EXP-045</t>
  </si>
  <si>
    <t>EXP-046</t>
  </si>
  <si>
    <t>EXP-047</t>
  </si>
  <si>
    <t>EXP-048</t>
  </si>
  <si>
    <t>EXP-049</t>
  </si>
  <si>
    <t>EXP-050</t>
  </si>
  <si>
    <t>EXP-051</t>
  </si>
  <si>
    <t>EXP-052</t>
  </si>
  <si>
    <t>EXP-053</t>
  </si>
  <si>
    <t>EXP-054</t>
  </si>
  <si>
    <t>Property Maintenance Spend &amp; Savings Analysis</t>
  </si>
  <si>
    <t>Financial analysis of maintenance spend, budget variance, vendor usage, emergency costs, and modeled savings opportunities | Jan–Jun 2026</t>
  </si>
  <si>
    <t>Quoted / Budgeted Spend ($)</t>
  </si>
  <si>
    <t>Transaction Variance ($)</t>
  </si>
  <si>
    <t>Emergency Spend %</t>
  </si>
  <si>
    <t>Preferred Vendor Usage %</t>
  </si>
  <si>
    <t>Preventive Spend %</t>
  </si>
  <si>
    <t>Spend by Property</t>
  </si>
  <si>
    <t>Annual Budget ($)</t>
  </si>
  <si>
    <t>6-Mo Prorated Budget ($)</t>
  </si>
  <si>
    <t>Actual Spend ($)</t>
  </si>
  <si>
    <t>Variance vs Prorated ($)</t>
  </si>
  <si>
    <t>Spend % of Prorated</t>
  </si>
  <si>
    <t>Lakeview Residences</t>
  </si>
  <si>
    <t>Cypress Office Center</t>
  </si>
  <si>
    <t>Sunset Retail Plaza</t>
  </si>
  <si>
    <t>Harbor Point Apartments</t>
  </si>
  <si>
    <t>Magnolia Mixed Use</t>
  </si>
  <si>
    <t>Pinecrest Business Park</t>
  </si>
  <si>
    <t>Spend by Maintenance Type</t>
  </si>
  <si>
    <t>Spend by Service Category</t>
  </si>
  <si>
    <t>Share of Spend</t>
  </si>
  <si>
    <t>Savings % of Spend</t>
  </si>
  <si>
    <t>General Contractor</t>
  </si>
  <si>
    <t>HVAC</t>
  </si>
  <si>
    <t>Cleaning</t>
  </si>
  <si>
    <t>Landscaping</t>
  </si>
  <si>
    <t>Elevator</t>
  </si>
  <si>
    <t>Plumbing</t>
  </si>
  <si>
    <t>Vendor Spend &amp; Opportunity</t>
  </si>
  <si>
    <t>Fire &amp; Life Safety</t>
  </si>
  <si>
    <t>Preferred?</t>
  </si>
  <si>
    <t>Rating</t>
  </si>
  <si>
    <t>Pest Control</t>
  </si>
  <si>
    <t>Roofing</t>
  </si>
  <si>
    <t>Electrical</t>
  </si>
  <si>
    <t>Modeled opportunities are scenario estimates for portfolio analysis—not realized savings. Adjust rates in Assumptions to stress-test the opportunity.</t>
  </si>
  <si>
    <t>Total Potential Savings ($)</t>
  </si>
  <si>
    <t>Savings as % of Spend</t>
  </si>
  <si>
    <t>Opportunity by Savings Driver</t>
  </si>
  <si>
    <t>Affected Spend ($)</t>
  </si>
  <si>
    <t># Transactions</t>
  </si>
  <si>
    <t>Recommended Action</t>
  </si>
  <si>
    <t>Strengthen PM cadence and root-cause review for repeat emergency assets.</t>
  </si>
  <si>
    <t>Move repeat spend to preferred vendors or renegotiate rate cards.</t>
  </si>
  <si>
    <t>Bundle recurring services across properties and negotiate portfolio pricing.</t>
  </si>
  <si>
    <t>Review PM scope/frequency and eliminate low-value repeat work.</t>
  </si>
  <si>
    <t>Investigate quote-to-invoice leakage and approval controls.</t>
  </si>
  <si>
    <t>Maintain current controls; no quantified action assigned.</t>
  </si>
  <si>
    <t>Vendor-Level Opportunity Review</t>
  </si>
  <si>
    <t>Review Focus</t>
  </si>
  <si>
    <t>Preferred vendor with moderate rating: review service quality and contract value.</t>
  </si>
  <si>
    <t>Maintain preferred relationship; monitor cost and service performance.</t>
  </si>
  <si>
    <t>Non-preferred vendor: review sourcing, pricing, and conversion to preferred status.</t>
  </si>
  <si>
    <t>Vendor Name</t>
  </si>
  <si>
    <t>Primary Service Category</t>
  </si>
  <si>
    <t>Status</t>
  </si>
  <si>
    <t>Contract Expiration</t>
  </si>
  <si>
    <t>Insurance Expiration</t>
  </si>
  <si>
    <t>Source</t>
  </si>
  <si>
    <t>Active</t>
  </si>
  <si>
    <t>Portfolio Notion master data (synthetic)</t>
  </si>
  <si>
    <t>Pending Review</t>
  </si>
  <si>
    <t>City</t>
  </si>
  <si>
    <t>State</t>
  </si>
  <si>
    <t>Units</t>
  </si>
  <si>
    <t>Square Feet</t>
  </si>
  <si>
    <t>Annual Maintenance Budget ($)</t>
  </si>
  <si>
    <t>Property Manager</t>
  </si>
  <si>
    <t>Multifamily</t>
  </si>
  <si>
    <t>Orlando</t>
  </si>
  <si>
    <t>FL</t>
  </si>
  <si>
    <t>Elena Brooks</t>
  </si>
  <si>
    <t>Office</t>
  </si>
  <si>
    <t>Tampa</t>
  </si>
  <si>
    <t>Marcus Lee</t>
  </si>
  <si>
    <t>Retail</t>
  </si>
  <si>
    <t>Kissimmee</t>
  </si>
  <si>
    <t>Priya Shah</t>
  </si>
  <si>
    <t>Clearwater</t>
  </si>
  <si>
    <t>Daniel Ortiz</t>
  </si>
  <si>
    <t>Mixed Use</t>
  </si>
  <si>
    <t>Winter Garden</t>
  </si>
  <si>
    <t>Under Renovation</t>
  </si>
  <si>
    <t>Sofia Turner</t>
  </si>
  <si>
    <t>Lakeland</t>
  </si>
  <si>
    <t>Aaron Mitchell</t>
  </si>
  <si>
    <t>Model / Analysis Assumption</t>
  </si>
  <si>
    <t>Purpose / Rationale</t>
  </si>
  <si>
    <t>Analysis Start</t>
  </si>
  <si>
    <t>Start of the portfolio analysis period.</t>
  </si>
  <si>
    <t>Portfolio modeling assumption</t>
  </si>
  <si>
    <t>Analysis End</t>
  </si>
  <si>
    <t>End of the portfolio analysis period.</t>
  </si>
  <si>
    <t>Analysis Months</t>
  </si>
  <si>
    <t>Used to prorate annual property maintenance budgets.</t>
  </si>
  <si>
    <t>Derived from analysis period</t>
  </si>
  <si>
    <t>Use</t>
  </si>
  <si>
    <t>Estimated avoidable portion of emergency maintenance through stronger PM.</t>
  </si>
  <si>
    <t>Estimated sourcing / negotiated-rate opportunity.</t>
  </si>
  <si>
    <t>Estimated portfolio-wide bundling opportunity for recurring services.</t>
  </si>
  <si>
    <t>Estimated opportunity from optimizing preventive scope/frequency.</t>
  </si>
  <si>
    <t>Estimated recovery / negotiation opportunity on material overruns.</t>
  </si>
  <si>
    <t>No immediate quantified opportunity assigned.</t>
  </si>
  <si>
    <t>Field</t>
  </si>
  <si>
    <t>Definition</t>
  </si>
  <si>
    <t>Unique synthetic maintenance expense identifier.</t>
  </si>
  <si>
    <t>Date the cost was incurred or recorded.</t>
  </si>
  <si>
    <t>Property key linked to Property Master.</t>
  </si>
  <si>
    <t>Formula-driven lookup from Property Master.</t>
  </si>
  <si>
    <t>Service provider associated with the maintenance expense.</t>
  </si>
  <si>
    <t>Formula-driven vendor service category.</t>
  </si>
  <si>
    <t>Formula-driven preferred vendor indicator.</t>
  </si>
  <si>
    <t>Formula-driven vendor rating from Vendor Master.</t>
  </si>
  <si>
    <t>Preventive, Corrective, or Emergency.</t>
  </si>
  <si>
    <t>Medium, High, or Critical priority.</t>
  </si>
  <si>
    <t>Approved / quoted cost for the maintenance event.</t>
  </si>
  <si>
    <t>Actual recorded cost.</t>
  </si>
  <si>
    <t>Budgeted Cost minus Actual Cost. Negative = over budget.</t>
  </si>
  <si>
    <t>Variance divided by Budgeted Cost.</t>
  </si>
  <si>
    <t>Yes/No for emergency events; N/A otherwise.</t>
  </si>
  <si>
    <t>Paid, Approved, or Pending.</t>
  </si>
  <si>
    <t>Primary non-overlapping savings hypothesis assigned to the transaction.</t>
  </si>
  <si>
    <t>Lookup from Assumptions based on Savings Driver.</t>
  </si>
  <si>
    <t>Actual Cost multiplied by Savings Rate.</t>
  </si>
  <si>
    <t>Actual Cost less Potential Savings.</t>
  </si>
  <si>
    <t>Potential Savings annualized from six months of data.</t>
  </si>
  <si>
    <t>Formula-based KPI and spend summary. No pivot table required.</t>
  </si>
  <si>
    <t>Portfolio opportunity summary by savings driver and vendor.</t>
  </si>
  <si>
    <t>Annualized Savings Run-Rate ($)</t>
  </si>
  <si>
    <t>Executive Recommendations</t>
  </si>
  <si>
    <t>Opportunity</t>
  </si>
  <si>
    <t>Expected Impact</t>
  </si>
  <si>
    <t>Preventable Emergencies</t>
  </si>
  <si>
    <t>Budget Overrun Controls</t>
  </si>
  <si>
    <t>Strengthen PM cadence and root-cause reviews</t>
  </si>
  <si>
    <t>$10.02k</t>
  </si>
  <si>
    <t>Review quote-to-invoice variances and approvals</t>
  </si>
  <si>
    <t>$9.3k</t>
  </si>
  <si>
    <t>$7.1k</t>
  </si>
  <si>
    <t>Revies scope, frequency and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</si>
</sst>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;[Red]\(\$#,##0\);\-"/>
    <numFmt numFmtId="166" formatCode="0.0%;[Red]\(0.0%\);\-"/>
    <numFmt numFmtId="167" formatCode="0.0%"/>
    <numFmt numFmtId="168" formatCode="0.0"/>
  </numFmts>
  <fonts count="8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00000"/>
      <name val="Carlito"/>
    </font>
    <font>
      <b/>
      <sz val="16"/>
      <color rgb="FFFFFFFF"/>
      <name val="Carlito"/>
    </font>
    <font>
      <i/>
      <sz val="11"/>
      <color rgb="FF595959"/>
      <name val="Carlito"/>
    </font>
    <font>
      <b/>
      <sz val="11"/>
      <color rgb="FF008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6D78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3F6F9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165" fontId="3" fillId="0" borderId="0" xfId="0" applyNumberFormat="1" applyFont="1" applyFill="1" applyBorder="1"/>
    <xf numFmtId="167" fontId="3" fillId="0" borderId="0" xfId="0" applyNumberFormat="1" applyFont="1" applyFill="1" applyBorder="1"/>
    <xf numFmtId="168" fontId="3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164" fontId="2" fillId="0" borderId="0" xfId="0" applyNumberFormat="1" applyFont="1" applyFill="1" applyBorder="1" applyAlignment="1">
      <alignment wrapText="1"/>
    </xf>
    <xf numFmtId="17" fontId="4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168" fontId="3" fillId="0" borderId="0" xfId="0" applyNumberFormat="1" applyFont="1" applyFill="1" applyBorder="1" applyAlignment="1">
      <alignment wrapText="1"/>
    </xf>
    <xf numFmtId="165" fontId="2" fillId="0" borderId="0" xfId="0" applyNumberFormat="1" applyFont="1" applyFill="1" applyBorder="1" applyAlignment="1">
      <alignment wrapText="1"/>
    </xf>
    <xf numFmtId="165" fontId="4" fillId="0" borderId="0" xfId="0" applyNumberFormat="1" applyFont="1" applyFill="1" applyBorder="1" applyAlignment="1">
      <alignment wrapText="1"/>
    </xf>
    <xf numFmtId="166" fontId="4" fillId="0" borderId="0" xfId="0" applyNumberFormat="1" applyFont="1" applyFill="1" applyBorder="1" applyAlignment="1">
      <alignment wrapText="1"/>
    </xf>
    <xf numFmtId="167" fontId="3" fillId="0" borderId="0" xfId="0" applyNumberFormat="1" applyFont="1" applyFill="1" applyBorder="1" applyAlignment="1">
      <alignment wrapText="1"/>
    </xf>
    <xf numFmtId="165" fontId="3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3" fontId="2" fillId="0" borderId="0" xfId="0" applyNumberFormat="1" applyFont="1" applyFill="1" applyBorder="1" applyAlignment="1">
      <alignment wrapText="1"/>
    </xf>
    <xf numFmtId="168" fontId="2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left" vertical="center" wrapText="1"/>
    </xf>
    <xf numFmtId="167" fontId="2" fillId="4" borderId="0" xfId="0" applyNumberFormat="1" applyFont="1" applyFill="1" applyBorder="1" applyAlignment="1">
      <alignment wrapText="1"/>
    </xf>
    <xf numFmtId="165" fontId="7" fillId="6" borderId="0" xfId="0" applyNumberFormat="1" applyFont="1" applyFill="1" applyBorder="1" applyAlignment="1">
      <alignment horizontal="right"/>
    </xf>
    <xf numFmtId="167" fontId="7" fillId="6" borderId="0" xfId="0" applyNumberFormat="1" applyFont="1" applyFill="1" applyBorder="1" applyAlignment="1">
      <alignment horizontal="right"/>
    </xf>
    <xf numFmtId="165" fontId="7" fillId="6" borderId="0" xfId="0" applyNumberFormat="1" applyFont="1" applyFill="1" applyBorder="1"/>
    <xf numFmtId="165" fontId="1" fillId="2" borderId="0" xfId="0" applyNumberFormat="1" applyFont="1" applyFill="1" applyBorder="1" applyAlignment="1">
      <alignment wrapText="1"/>
    </xf>
    <xf numFmtId="167" fontId="7" fillId="6" borderId="0" xfId="0" applyNumberFormat="1" applyFont="1" applyFill="1" applyBorder="1"/>
    <xf numFmtId="165" fontId="7" fillId="0" borderId="0" xfId="0" applyNumberFormat="1" applyFont="1" applyFill="1" applyBorder="1"/>
    <xf numFmtId="0" fontId="0" fillId="4" borderId="0" xfId="0" applyNumberFormat="1" applyFont="1" applyFill="1" applyBorder="1"/>
    <xf numFmtId="0" fontId="5" fillId="2" borderId="0" xfId="0" applyNumberFormat="1" applyFont="1" applyFill="1" applyBorder="1" applyAlignment="1">
      <alignment vertical="center"/>
    </xf>
    <xf numFmtId="0" fontId="6" fillId="5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horizontal="left" vertical="center"/>
    </xf>
    <xf numFmtId="0" fontId="0" fillId="7" borderId="0" xfId="0" applyNumberFormat="1" applyFont="1" applyFill="1" applyBorder="1" applyAlignment="1">
      <alignment vertical="top" wrapText="1"/>
    </xf>
    <xf numFmtId="0" fontId="6" fillId="8" borderId="0" xfId="0" applyNumberFormat="1" applyFont="1" applyFill="1" applyBorder="1" applyAlignment="1">
      <alignment vertical="top" wrapText="1"/>
    </xf>
    <xf numFmtId="0" fontId="6" fillId="5" borderId="0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3" borderId="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bgColor rgb="FFFCE8E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8E6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Actual Spend</c:v>
          </c:tx>
          <c:invertIfNegative val="1"/>
          <c:cat>
            <c:strRef>
              <c:f>Analysis!$A$11:$A$16</c:f>
              <c:strCache>
                <c:ptCount val="6"/>
                <c:pt idx="0">
                  <c:v>Lakeview Residences</c:v>
                </c:pt>
                <c:pt idx="1">
                  <c:v>Cypress Office Center</c:v>
                </c:pt>
                <c:pt idx="2">
                  <c:v>Sunset Retail Plaza</c:v>
                </c:pt>
                <c:pt idx="3">
                  <c:v>Harbor Point Apartments</c:v>
                </c:pt>
                <c:pt idx="4">
                  <c:v>Magnolia Mixed Use</c:v>
                </c:pt>
                <c:pt idx="5">
                  <c:v>Pinecrest Business Park</c:v>
                </c:pt>
              </c:strCache>
            </c:strRef>
          </c:cat>
          <c:val>
            <c:numRef>
              <c:f>Analysis!$D$11:$D$16</c:f>
              <c:numCache>
                <c:formatCode>General</c:formatCode>
                <c:ptCount val="6"/>
                <c:pt idx="0">
                  <c:v>76080</c:v>
                </c:pt>
                <c:pt idx="1">
                  <c:v>94100</c:v>
                </c:pt>
                <c:pt idx="2">
                  <c:v>83430</c:v>
                </c:pt>
                <c:pt idx="3">
                  <c:v>92200</c:v>
                </c:pt>
                <c:pt idx="4">
                  <c:v>88170</c:v>
                </c:pt>
                <c:pt idx="5">
                  <c:v>136800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9-46C1-B68F-F81092C3F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Actual Spend</c:v>
          </c:tx>
          <c:invertIfNegative val="1"/>
          <c:cat>
            <c:strRef>
              <c:f>Analysis!$A$22:$A$24</c:f>
              <c:strCache>
                <c:ptCount val="3"/>
                <c:pt idx="0">
                  <c:v>Preventive</c:v>
                </c:pt>
                <c:pt idx="1">
                  <c:v>Corrective</c:v>
                </c:pt>
                <c:pt idx="2">
                  <c:v>Emergency</c:v>
                </c:pt>
              </c:strCache>
            </c:strRef>
          </c:cat>
          <c:val>
            <c:numRef>
              <c:f>Analysis!$B$22:$B$24</c:f>
              <c:numCache>
                <c:formatCode>General</c:formatCode>
                <c:ptCount val="3"/>
                <c:pt idx="0">
                  <c:v>292840</c:v>
                </c:pt>
                <c:pt idx="1">
                  <c:v>213730</c:v>
                </c:pt>
                <c:pt idx="2">
                  <c:v>64210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9-4950-A017-FAEBC2843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Potential Savings</c:v>
          </c:tx>
          <c:invertIfNegative val="1"/>
          <c:cat>
            <c:strRef>
              <c:f>'Savings Opportunities'!$A$9:$A$13</c:f>
              <c:strCache>
                <c:ptCount val="5"/>
                <c:pt idx="0">
                  <c:v>Preventable Emergency</c:v>
                </c:pt>
                <c:pt idx="1">
                  <c:v>Non-Preferred Vendor</c:v>
                </c:pt>
                <c:pt idx="2">
                  <c:v>Vendor Consolidation</c:v>
                </c:pt>
                <c:pt idx="3">
                  <c:v>Preventive Optimization</c:v>
                </c:pt>
                <c:pt idx="4">
                  <c:v>Budget Overrun Review</c:v>
                </c:pt>
              </c:strCache>
            </c:strRef>
          </c:cat>
          <c:val>
            <c:numRef>
              <c:f>'Savings Opportunities'!$C$9:$C$13</c:f>
              <c:numCache>
                <c:formatCode>General</c:formatCode>
                <c:ptCount val="5"/>
                <c:pt idx="0">
                  <c:v>10238</c:v>
                </c:pt>
                <c:pt idx="1">
                  <c:v>6536.8</c:v>
                </c:pt>
                <c:pt idx="2">
                  <c:v>1120.5</c:v>
                </c:pt>
                <c:pt idx="3">
                  <c:v>7096</c:v>
                </c:pt>
                <c:pt idx="4">
                  <c:v>9253.8000000000011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A-4F75-8B48-6FCEFDB17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142875</xdr:rowOff>
    </xdr:from>
    <xdr:to>
      <xdr:col>5</xdr:col>
      <xdr:colOff>9525</xdr:colOff>
      <xdr:row>37</xdr:row>
      <xdr:rowOff>466725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7AECB40C-B4AA-457A-86E1-10B909497EE3}"/>
            </a:ext>
          </a:extLst>
        </xdr:cNvPr>
        <xdr:cNvSpPr/>
      </xdr:nvSpPr>
      <xdr:spPr>
        <a:xfrm>
          <a:off x="0" y="10772775"/>
          <a:ext cx="7639050" cy="504825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These three operational initiatives represent approximately 78% of the modeled savings opportunity identified during the six-month analysis period.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tenanceSpendTable" displayName="MaintenanceSpendTable" ref="A1:X55" totalsRowShown="0">
  <autoFilter ref="A1:X55" xr:uid="{00000000-000C-0000-FFFF-FFFF00000000}">
    <filterColumn colId="4">
      <filters>
        <filter val="Pinecrest Business Park"/>
      </filters>
    </filterColumn>
  </autoFilter>
  <tableColumns count="24">
    <tableColumn id="1" xr3:uid="{00000000-0010-0000-0000-000001000000}" name="Expense ID"/>
    <tableColumn id="2" xr3:uid="{00000000-0010-0000-0000-000002000000}" name="Expense Date"/>
    <tableColumn id="3" xr3:uid="{00000000-0010-0000-0000-000003000000}" name="Expense Month"/>
    <tableColumn id="4" xr3:uid="{00000000-0010-0000-0000-000004000000}" name="Property ID"/>
    <tableColumn id="5" xr3:uid="{00000000-0010-0000-0000-000005000000}" name="Property Name"/>
    <tableColumn id="6" xr3:uid="{00000000-0010-0000-0000-000006000000}" name="Property Type"/>
    <tableColumn id="7" xr3:uid="{00000000-0010-0000-0000-000007000000}" name="Vendor"/>
    <tableColumn id="8" xr3:uid="{00000000-0010-0000-0000-000008000000}" name="Service Category"/>
    <tableColumn id="9" xr3:uid="{00000000-0010-0000-0000-000009000000}" name="Preferred Vendor"/>
    <tableColumn id="10" xr3:uid="{00000000-0010-0000-0000-00000A000000}" name="Vendor Rating"/>
    <tableColumn id="11" xr3:uid="{00000000-0010-0000-0000-00000B000000}" name="Maintenance Type"/>
    <tableColumn id="12" xr3:uid="{00000000-0010-0000-0000-00000C000000}" name="Priority"/>
    <tableColumn id="13" xr3:uid="{00000000-0010-0000-0000-00000D000000}" name="Budgeted Cost ($)"/>
    <tableColumn id="14" xr3:uid="{00000000-0010-0000-0000-00000E000000}" name="Actual Cost ($)"/>
    <tableColumn id="15" xr3:uid="{00000000-0010-0000-0000-00000F000000}" name="Variance ($)"/>
    <tableColumn id="16" xr3:uid="{00000000-0010-0000-0000-000010000000}" name="Variance %"/>
    <tableColumn id="17" xr3:uid="{00000000-0010-0000-0000-000011000000}" name="Preventable Emergency?"/>
    <tableColumn id="18" xr3:uid="{00000000-0010-0000-0000-000012000000}" name="Invoice Status"/>
    <tableColumn id="19" xr3:uid="{00000000-0010-0000-0000-000013000000}" name="Savings Driver"/>
    <tableColumn id="20" xr3:uid="{00000000-0010-0000-0000-000014000000}" name="Savings Rate"/>
    <tableColumn id="21" xr3:uid="{00000000-0010-0000-0000-000015000000}" name="Potential Savings ($)"/>
    <tableColumn id="22" xr3:uid="{00000000-0010-0000-0000-000016000000}" name="Net Cost After Savings ($)"/>
    <tableColumn id="23" xr3:uid="{00000000-0010-0000-0000-000017000000}" name="Annualized Savings Run-Rate ($)"/>
    <tableColumn id="24" xr3:uid="{00000000-0010-0000-0000-00001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VendorMasterTable" displayName="VendorMasterTable" ref="A1:H11" totalsRowShown="0">
  <tableColumns count="8">
    <tableColumn id="1" xr3:uid="{00000000-0010-0000-0100-000001000000}" name="Vendor Name"/>
    <tableColumn id="2" xr3:uid="{00000000-0010-0000-0100-000002000000}" name="Primary Service Category"/>
    <tableColumn id="3" xr3:uid="{00000000-0010-0000-0100-000003000000}" name="Preferred Vendor"/>
    <tableColumn id="4" xr3:uid="{00000000-0010-0000-0100-000004000000}" name="Rating"/>
    <tableColumn id="5" xr3:uid="{00000000-0010-0000-0100-000005000000}" name="Status"/>
    <tableColumn id="6" xr3:uid="{00000000-0010-0000-0100-000006000000}" name="Contract Expiration"/>
    <tableColumn id="7" xr3:uid="{00000000-0010-0000-0100-000007000000}" name="Insurance Expiration"/>
    <tableColumn id="8" xr3:uid="{00000000-0010-0000-0100-000008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opertyMasterTable" displayName="PropertyMasterTable" ref="A1:K7" totalsRowShown="0">
  <tableColumns count="11">
    <tableColumn id="1" xr3:uid="{00000000-0010-0000-0200-000001000000}" name="Property ID"/>
    <tableColumn id="2" xr3:uid="{00000000-0010-0000-0200-000002000000}" name="Property Name"/>
    <tableColumn id="3" xr3:uid="{00000000-0010-0000-0200-000003000000}" name="Property Type"/>
    <tableColumn id="4" xr3:uid="{00000000-0010-0000-0200-000004000000}" name="City"/>
    <tableColumn id="5" xr3:uid="{00000000-0010-0000-0200-000005000000}" name="State"/>
    <tableColumn id="6" xr3:uid="{00000000-0010-0000-0200-000006000000}" name="Units"/>
    <tableColumn id="7" xr3:uid="{00000000-0010-0000-0200-000007000000}" name="Square Feet"/>
    <tableColumn id="8" xr3:uid="{00000000-0010-0000-0200-000008000000}" name="Annual Maintenance Budget ($)"/>
    <tableColumn id="9" xr3:uid="{00000000-0010-0000-0200-000009000000}" name="Status"/>
    <tableColumn id="10" xr3:uid="{00000000-0010-0000-0200-00000A000000}" name="Property Manager"/>
    <tableColumn id="11" xr3:uid="{00000000-0010-0000-0200-00000B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workbookViewId="0">
      <pane ySplit="2" topLeftCell="A3" activePane="bottomLeft" state="frozen"/>
      <selection pane="bottomLeft" activeCell="B39" sqref="B39"/>
    </sheetView>
  </sheetViews>
  <sheetFormatPr baseColWidth="10" defaultColWidth="9" defaultRowHeight="14.25"/>
  <cols>
    <col min="1" max="1" width="38.875" customWidth="1"/>
    <col min="2" max="2" width="54" customWidth="1"/>
    <col min="3" max="3" width="4" customWidth="1"/>
    <col min="4" max="4" width="27" customWidth="1"/>
    <col min="5" max="5" width="72" customWidth="1"/>
    <col min="6" max="8" width="8" customWidth="1"/>
  </cols>
  <sheetData>
    <row r="1" spans="1:8" ht="30" customHeight="1">
      <c r="A1" s="30" t="s">
        <v>0</v>
      </c>
      <c r="B1" s="30"/>
      <c r="C1" s="30"/>
      <c r="D1" s="30"/>
      <c r="E1" s="30"/>
      <c r="F1" s="30"/>
      <c r="G1" s="30"/>
      <c r="H1" s="30"/>
    </row>
    <row r="2" spans="1:8">
      <c r="A2" s="31" t="s">
        <v>1</v>
      </c>
      <c r="B2" s="31"/>
      <c r="C2" s="31"/>
      <c r="D2" s="31"/>
      <c r="E2" s="31"/>
      <c r="F2" s="31"/>
      <c r="G2" s="31"/>
      <c r="H2" s="31"/>
    </row>
    <row r="4" spans="1:8" ht="15">
      <c r="A4" s="32" t="s">
        <v>2</v>
      </c>
      <c r="B4" s="32"/>
      <c r="C4" s="32"/>
      <c r="D4" s="32"/>
      <c r="E4" s="32"/>
      <c r="F4" s="32"/>
      <c r="G4" s="32"/>
      <c r="H4" s="32"/>
    </row>
    <row r="5" spans="1:8">
      <c r="A5" s="33" t="s">
        <v>3</v>
      </c>
      <c r="B5" s="33"/>
      <c r="C5" s="33"/>
      <c r="D5" s="33"/>
      <c r="E5" s="33"/>
      <c r="F5" s="33"/>
      <c r="G5" s="33"/>
      <c r="H5" s="33"/>
    </row>
    <row r="6" spans="1:8">
      <c r="A6" s="33"/>
      <c r="B6" s="33"/>
      <c r="C6" s="33"/>
      <c r="D6" s="33"/>
      <c r="E6" s="33"/>
      <c r="F6" s="33"/>
      <c r="G6" s="33"/>
      <c r="H6" s="33"/>
    </row>
    <row r="7" spans="1:8">
      <c r="A7" s="33"/>
      <c r="B7" s="33"/>
      <c r="C7" s="33"/>
      <c r="D7" s="33"/>
      <c r="E7" s="33"/>
      <c r="F7" s="33"/>
      <c r="G7" s="33"/>
      <c r="H7" s="33"/>
    </row>
    <row r="9" spans="1:8" ht="15">
      <c r="A9" s="32" t="s">
        <v>4</v>
      </c>
      <c r="B9" s="32"/>
      <c r="C9" s="32"/>
      <c r="D9" s="32"/>
      <c r="E9" s="32"/>
      <c r="F9" s="32"/>
      <c r="G9" s="32"/>
      <c r="H9" s="32"/>
    </row>
    <row r="10" spans="1:8" ht="15">
      <c r="A10" s="2" t="s">
        <v>5</v>
      </c>
      <c r="B10" s="2" t="s">
        <v>6</v>
      </c>
      <c r="D10" s="2" t="s">
        <v>7</v>
      </c>
      <c r="E10" s="2" t="s">
        <v>8</v>
      </c>
      <c r="F10" s="2"/>
      <c r="G10" s="2"/>
      <c r="H10" s="2"/>
    </row>
    <row r="11" spans="1:8" ht="29.25">
      <c r="A11" t="s">
        <v>9</v>
      </c>
      <c r="B11" s="28">
        <f>Analysis!B4</f>
        <v>570780</v>
      </c>
      <c r="D11" s="18" t="s">
        <v>10</v>
      </c>
      <c r="E11" s="18" t="s">
        <v>11</v>
      </c>
    </row>
    <row r="12" spans="1:8" ht="15">
      <c r="A12" t="s">
        <v>12</v>
      </c>
      <c r="B12" s="28">
        <f>Analysis!H4</f>
        <v>34245.1</v>
      </c>
      <c r="D12" s="18" t="s">
        <v>13</v>
      </c>
      <c r="E12" s="18" t="s">
        <v>14</v>
      </c>
    </row>
    <row r="13" spans="1:8" ht="15">
      <c r="A13" t="s">
        <v>15</v>
      </c>
      <c r="B13" s="28">
        <f>Analysis!B6</f>
        <v>68490.2</v>
      </c>
      <c r="D13" s="18" t="s">
        <v>16</v>
      </c>
      <c r="E13" s="18" t="s">
        <v>17</v>
      </c>
    </row>
    <row r="14" spans="1:8">
      <c r="D14" s="18" t="s">
        <v>18</v>
      </c>
      <c r="E14" s="18" t="s">
        <v>19</v>
      </c>
    </row>
    <row r="15" spans="1:8" ht="28.5">
      <c r="D15" s="18" t="s">
        <v>20</v>
      </c>
      <c r="E15" s="18" t="s">
        <v>21</v>
      </c>
    </row>
    <row r="16" spans="1:8">
      <c r="D16" s="18" t="s">
        <v>22</v>
      </c>
      <c r="E16" s="18" t="s">
        <v>23</v>
      </c>
    </row>
    <row r="18" spans="1:8" ht="15">
      <c r="A18" s="32" t="s">
        <v>24</v>
      </c>
      <c r="B18" s="32"/>
      <c r="C18" s="32"/>
      <c r="D18" s="32"/>
      <c r="E18" s="32"/>
      <c r="F18" s="32"/>
      <c r="G18" s="32"/>
      <c r="H18" s="32"/>
    </row>
    <row r="19" spans="1:8" ht="15">
      <c r="A19" s="2" t="s">
        <v>25</v>
      </c>
      <c r="B19" s="2" t="s">
        <v>26</v>
      </c>
    </row>
    <row r="20" spans="1:8" ht="28.5">
      <c r="A20" s="18" t="s">
        <v>27</v>
      </c>
      <c r="B20" s="18" t="s">
        <v>28</v>
      </c>
    </row>
    <row r="21" spans="1:8" ht="28.5">
      <c r="A21" s="18" t="s">
        <v>29</v>
      </c>
      <c r="B21" s="18" t="s">
        <v>30</v>
      </c>
    </row>
    <row r="22" spans="1:8" ht="28.5">
      <c r="A22" s="18" t="s">
        <v>31</v>
      </c>
      <c r="B22" s="18" t="s">
        <v>32</v>
      </c>
    </row>
    <row r="23" spans="1:8" ht="28.5">
      <c r="A23" s="18" t="s">
        <v>33</v>
      </c>
      <c r="B23" s="18" t="s">
        <v>34</v>
      </c>
    </row>
    <row r="24" spans="1:8" ht="42.75">
      <c r="A24" s="18" t="s">
        <v>35</v>
      </c>
      <c r="B24" s="18" t="s">
        <v>36</v>
      </c>
    </row>
    <row r="26" spans="1:8" ht="15">
      <c r="A26" s="32" t="s">
        <v>37</v>
      </c>
      <c r="B26" s="32"/>
      <c r="C26" s="32"/>
      <c r="D26" s="32"/>
      <c r="E26" s="32"/>
      <c r="F26" s="32"/>
      <c r="G26" s="32"/>
      <c r="H26" s="32"/>
    </row>
    <row r="27" spans="1:8" ht="15">
      <c r="A27" s="2" t="s">
        <v>38</v>
      </c>
      <c r="B27" s="2" t="s">
        <v>39</v>
      </c>
    </row>
    <row r="28" spans="1:8">
      <c r="A28" t="s">
        <v>40</v>
      </c>
      <c r="B28" s="3" t="s">
        <v>41</v>
      </c>
    </row>
    <row r="29" spans="1:8">
      <c r="A29" t="s">
        <v>42</v>
      </c>
      <c r="B29" s="4" t="s">
        <v>43</v>
      </c>
    </row>
    <row r="30" spans="1:8">
      <c r="A30" t="s">
        <v>44</v>
      </c>
      <c r="B30" s="29" t="s">
        <v>45</v>
      </c>
    </row>
    <row r="32" spans="1:8">
      <c r="A32" s="34" t="s">
        <v>46</v>
      </c>
      <c r="B32" s="34"/>
      <c r="C32" s="34"/>
      <c r="D32" s="34"/>
      <c r="E32" s="34"/>
      <c r="F32" s="34"/>
      <c r="G32" s="34"/>
      <c r="H32" s="34"/>
    </row>
    <row r="33" spans="1:8">
      <c r="A33" s="34"/>
      <c r="B33" s="34"/>
      <c r="C33" s="34"/>
      <c r="D33" s="34"/>
      <c r="E33" s="34"/>
      <c r="F33" s="34"/>
      <c r="G33" s="34"/>
      <c r="H33" s="34"/>
    </row>
    <row r="34" spans="1:8">
      <c r="A34" s="34"/>
      <c r="B34" s="34"/>
      <c r="C34" s="34"/>
      <c r="D34" s="34"/>
      <c r="E34" s="34"/>
      <c r="F34" s="34"/>
      <c r="G34" s="34"/>
      <c r="H34" s="34"/>
    </row>
  </sheetData>
  <mergeCells count="8">
    <mergeCell ref="A18:H18"/>
    <mergeCell ref="A26:H26"/>
    <mergeCell ref="A32:H34"/>
    <mergeCell ref="A1:H1"/>
    <mergeCell ref="A2:H2"/>
    <mergeCell ref="A4:H4"/>
    <mergeCell ref="A5:H7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workbookViewId="0">
      <pane ySplit="1" topLeftCell="A2" activePane="bottomLeft" state="frozen"/>
      <selection pane="bottomLeft" activeCell="W1" sqref="W1"/>
    </sheetView>
  </sheetViews>
  <sheetFormatPr baseColWidth="10" defaultColWidth="9" defaultRowHeight="14.25"/>
  <cols>
    <col min="1" max="2" width="12" customWidth="1"/>
    <col min="3" max="3" width="11" customWidth="1"/>
    <col min="4" max="4" width="10" customWidth="1"/>
    <col min="5" max="5" width="24" customWidth="1"/>
    <col min="6" max="6" width="14" customWidth="1"/>
    <col min="7" max="7" width="26" customWidth="1"/>
    <col min="8" max="8" width="19" customWidth="1"/>
    <col min="9" max="9" width="14" customWidth="1"/>
    <col min="10" max="10" width="11" customWidth="1"/>
    <col min="11" max="11" width="15" customWidth="1"/>
    <col min="12" max="12" width="11" customWidth="1"/>
    <col min="13" max="14" width="15" customWidth="1"/>
    <col min="15" max="15" width="14" customWidth="1"/>
    <col min="16" max="16" width="11" customWidth="1"/>
    <col min="17" max="17" width="18" customWidth="1"/>
    <col min="18" max="18" width="13" customWidth="1"/>
    <col min="19" max="19" width="23" customWidth="1"/>
    <col min="20" max="20" width="12" customWidth="1"/>
    <col min="21" max="23" width="18" customWidth="1"/>
    <col min="24" max="24" width="42" customWidth="1"/>
  </cols>
  <sheetData>
    <row r="1" spans="1:24" ht="32.1" customHeight="1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12</v>
      </c>
      <c r="V1" s="2" t="s">
        <v>67</v>
      </c>
      <c r="W1" s="2" t="s">
        <v>286</v>
      </c>
      <c r="X1" s="2" t="s">
        <v>68</v>
      </c>
    </row>
    <row r="2" spans="1:24" ht="28.5" hidden="1">
      <c r="A2" s="8" t="s">
        <v>69</v>
      </c>
      <c r="B2" s="9">
        <v>46045</v>
      </c>
      <c r="C2" s="10">
        <f t="shared" ref="C2:C33" si="0">DATE(YEAR(B2),MONTH(B2),1)</f>
        <v>46023</v>
      </c>
      <c r="D2" s="8">
        <v>1</v>
      </c>
      <c r="E2" s="11" t="str">
        <f>IFERROR(VLOOKUP(D2,'Property Master'!$A$2:$J$7,2,FALSE),"")</f>
        <v>Lakeview Residences</v>
      </c>
      <c r="F2" s="11" t="str">
        <f>IFERROR(VLOOKUP(D2,'Property Master'!$A$2:$J$7,3,FALSE),"")</f>
        <v>Multifamily</v>
      </c>
      <c r="G2" s="8" t="s">
        <v>70</v>
      </c>
      <c r="H2" s="11" t="str">
        <f>IFERROR(VLOOKUP(G2,'Vendor Master'!$A$2:$H$11,2,FALSE),"")</f>
        <v>HVAC</v>
      </c>
      <c r="I2" s="11" t="str">
        <f>IFERROR(VLOOKUP(G2,'Vendor Master'!$A$2:$H$11,3,FALSE),"")</f>
        <v>Yes</v>
      </c>
      <c r="J2" s="12">
        <f>IFERROR(VLOOKUP(G2,'Vendor Master'!$A$2:$H$11,4,FALSE),0)</f>
        <v>4.8</v>
      </c>
      <c r="K2" s="8" t="s">
        <v>71</v>
      </c>
      <c r="L2" s="8" t="s">
        <v>72</v>
      </c>
      <c r="M2" s="13">
        <v>10700</v>
      </c>
      <c r="N2" s="13">
        <v>9770</v>
      </c>
      <c r="O2" s="14">
        <f t="shared" ref="O2:O33" si="1">M2-N2</f>
        <v>930</v>
      </c>
      <c r="P2" s="15">
        <f t="shared" ref="P2:P33" si="2">IFERROR(O2/M2,0)</f>
        <v>8.6915887850467291E-2</v>
      </c>
      <c r="Q2" s="8" t="s">
        <v>73</v>
      </c>
      <c r="R2" s="8" t="s">
        <v>74</v>
      </c>
      <c r="S2" s="8" t="s">
        <v>75</v>
      </c>
      <c r="T2" s="16">
        <f>IFERROR(VLOOKUP(S2,Assumptions!$A$7:$B$12,2,FALSE),0)</f>
        <v>0</v>
      </c>
      <c r="U2" s="14">
        <f t="shared" ref="U2:U33" si="3">N2*T2</f>
        <v>0</v>
      </c>
      <c r="V2" s="14">
        <f t="shared" ref="V2:V33" si="4">N2-U2</f>
        <v>9770</v>
      </c>
      <c r="W2" s="17">
        <f>U2*12/Assumptions!$B$4</f>
        <v>0</v>
      </c>
      <c r="X2" s="8" t="s">
        <v>76</v>
      </c>
    </row>
    <row r="3" spans="1:24" ht="28.5" hidden="1">
      <c r="A3" s="8" t="s">
        <v>77</v>
      </c>
      <c r="B3" s="9">
        <v>46079</v>
      </c>
      <c r="C3" s="10">
        <f t="shared" si="0"/>
        <v>46054</v>
      </c>
      <c r="D3" s="8">
        <v>1</v>
      </c>
      <c r="E3" s="11" t="str">
        <f>IFERROR(VLOOKUP(D3,'Property Master'!$A$2:$J$7,2,FALSE),"")</f>
        <v>Lakeview Residences</v>
      </c>
      <c r="F3" s="11" t="str">
        <f>IFERROR(VLOOKUP(D3,'Property Master'!$A$2:$J$7,3,FALSE),"")</f>
        <v>Multifamily</v>
      </c>
      <c r="G3" s="8" t="s">
        <v>78</v>
      </c>
      <c r="H3" s="11" t="str">
        <f>IFERROR(VLOOKUP(G3,'Vendor Master'!$A$2:$H$11,2,FALSE),"")</f>
        <v>Cleaning</v>
      </c>
      <c r="I3" s="11" t="str">
        <f>IFERROR(VLOOKUP(G3,'Vendor Master'!$A$2:$H$11,3,FALSE),"")</f>
        <v>No</v>
      </c>
      <c r="J3" s="12">
        <f>IFERROR(VLOOKUP(G3,'Vendor Master'!$A$2:$H$11,4,FALSE),0)</f>
        <v>4.0999999999999996</v>
      </c>
      <c r="K3" s="8" t="s">
        <v>71</v>
      </c>
      <c r="L3" s="8" t="s">
        <v>72</v>
      </c>
      <c r="M3" s="13">
        <v>2400</v>
      </c>
      <c r="N3" s="13">
        <v>2170</v>
      </c>
      <c r="O3" s="14">
        <f t="shared" si="1"/>
        <v>230</v>
      </c>
      <c r="P3" s="15">
        <f t="shared" si="2"/>
        <v>9.583333333333334E-2</v>
      </c>
      <c r="Q3" s="8" t="s">
        <v>73</v>
      </c>
      <c r="R3" s="8" t="s">
        <v>74</v>
      </c>
      <c r="S3" s="8" t="s">
        <v>79</v>
      </c>
      <c r="T3" s="16">
        <f>IFERROR(VLOOKUP(S3,Assumptions!$A$7:$B$12,2,FALSE),0)</f>
        <v>0.08</v>
      </c>
      <c r="U3" s="14">
        <f t="shared" si="3"/>
        <v>173.6</v>
      </c>
      <c r="V3" s="14">
        <f t="shared" si="4"/>
        <v>1996.4</v>
      </c>
      <c r="W3" s="17">
        <f>U3*12/Assumptions!$B$4</f>
        <v>347.2</v>
      </c>
      <c r="X3" s="8" t="s">
        <v>80</v>
      </c>
    </row>
    <row r="4" spans="1:24" ht="28.5" hidden="1">
      <c r="A4" s="8" t="s">
        <v>81</v>
      </c>
      <c r="B4" s="9">
        <v>46103</v>
      </c>
      <c r="C4" s="10">
        <f t="shared" si="0"/>
        <v>46082</v>
      </c>
      <c r="D4" s="8">
        <v>1</v>
      </c>
      <c r="E4" s="11" t="str">
        <f>IFERROR(VLOOKUP(D4,'Property Master'!$A$2:$J$7,2,FALSE),"")</f>
        <v>Lakeview Residences</v>
      </c>
      <c r="F4" s="11" t="str">
        <f>IFERROR(VLOOKUP(D4,'Property Master'!$A$2:$J$7,3,FALSE),"")</f>
        <v>Multifamily</v>
      </c>
      <c r="G4" s="8" t="s">
        <v>70</v>
      </c>
      <c r="H4" s="11" t="str">
        <f>IFERROR(VLOOKUP(G4,'Vendor Master'!$A$2:$H$11,2,FALSE),"")</f>
        <v>HVAC</v>
      </c>
      <c r="I4" s="11" t="str">
        <f>IFERROR(VLOOKUP(G4,'Vendor Master'!$A$2:$H$11,3,FALSE),"")</f>
        <v>Yes</v>
      </c>
      <c r="J4" s="12">
        <f>IFERROR(VLOOKUP(G4,'Vendor Master'!$A$2:$H$11,4,FALSE),0)</f>
        <v>4.8</v>
      </c>
      <c r="K4" s="8" t="s">
        <v>82</v>
      </c>
      <c r="L4" s="8" t="s">
        <v>83</v>
      </c>
      <c r="M4" s="13">
        <v>10300</v>
      </c>
      <c r="N4" s="13">
        <v>11790</v>
      </c>
      <c r="O4" s="14">
        <f t="shared" si="1"/>
        <v>-1490</v>
      </c>
      <c r="P4" s="15">
        <f t="shared" si="2"/>
        <v>-0.14466019417475728</v>
      </c>
      <c r="Q4" s="8" t="s">
        <v>73</v>
      </c>
      <c r="R4" s="8" t="s">
        <v>84</v>
      </c>
      <c r="S4" s="8" t="s">
        <v>75</v>
      </c>
      <c r="T4" s="16">
        <f>IFERROR(VLOOKUP(S4,Assumptions!$A$7:$B$12,2,FALSE),0)</f>
        <v>0</v>
      </c>
      <c r="U4" s="14">
        <f t="shared" si="3"/>
        <v>0</v>
      </c>
      <c r="V4" s="14">
        <f t="shared" si="4"/>
        <v>11790</v>
      </c>
      <c r="W4" s="17">
        <f>U4*12/Assumptions!$B$4</f>
        <v>0</v>
      </c>
      <c r="X4" s="8" t="s">
        <v>76</v>
      </c>
    </row>
    <row r="5" spans="1:24" ht="28.5" hidden="1">
      <c r="A5" s="8" t="s">
        <v>85</v>
      </c>
      <c r="B5" s="9">
        <v>46115</v>
      </c>
      <c r="C5" s="10">
        <f t="shared" si="0"/>
        <v>46113</v>
      </c>
      <c r="D5" s="8">
        <v>1</v>
      </c>
      <c r="E5" s="11" t="str">
        <f>IFERROR(VLOOKUP(D5,'Property Master'!$A$2:$J$7,2,FALSE),"")</f>
        <v>Lakeview Residences</v>
      </c>
      <c r="F5" s="11" t="str">
        <f>IFERROR(VLOOKUP(D5,'Property Master'!$A$2:$J$7,3,FALSE),"")</f>
        <v>Multifamily</v>
      </c>
      <c r="G5" s="8" t="s">
        <v>86</v>
      </c>
      <c r="H5" s="11" t="str">
        <f>IFERROR(VLOOKUP(G5,'Vendor Master'!$A$2:$H$11,2,FALSE),"")</f>
        <v>General Contractor</v>
      </c>
      <c r="I5" s="11" t="str">
        <f>IFERROR(VLOOKUP(G5,'Vendor Master'!$A$2:$H$11,3,FALSE),"")</f>
        <v>Yes</v>
      </c>
      <c r="J5" s="12">
        <f>IFERROR(VLOOKUP(G5,'Vendor Master'!$A$2:$H$11,4,FALSE),0)</f>
        <v>4.3</v>
      </c>
      <c r="K5" s="8" t="s">
        <v>82</v>
      </c>
      <c r="L5" s="8" t="s">
        <v>83</v>
      </c>
      <c r="M5" s="13">
        <v>14800</v>
      </c>
      <c r="N5" s="13">
        <v>14820</v>
      </c>
      <c r="O5" s="14">
        <f t="shared" si="1"/>
        <v>-20</v>
      </c>
      <c r="P5" s="15">
        <f t="shared" si="2"/>
        <v>-1.3513513513513514E-3</v>
      </c>
      <c r="Q5" s="8" t="s">
        <v>73</v>
      </c>
      <c r="R5" s="8" t="s">
        <v>87</v>
      </c>
      <c r="S5" s="8" t="s">
        <v>75</v>
      </c>
      <c r="T5" s="16">
        <f>IFERROR(VLOOKUP(S5,Assumptions!$A$7:$B$12,2,FALSE),0)</f>
        <v>0</v>
      </c>
      <c r="U5" s="14">
        <f t="shared" si="3"/>
        <v>0</v>
      </c>
      <c r="V5" s="14">
        <f t="shared" si="4"/>
        <v>14820</v>
      </c>
      <c r="W5" s="17">
        <f>U5*12/Assumptions!$B$4</f>
        <v>0</v>
      </c>
      <c r="X5" s="8" t="s">
        <v>76</v>
      </c>
    </row>
    <row r="6" spans="1:24" ht="28.5" hidden="1">
      <c r="A6" s="8" t="s">
        <v>88</v>
      </c>
      <c r="B6" s="9">
        <v>46155</v>
      </c>
      <c r="C6" s="10">
        <f t="shared" si="0"/>
        <v>46143</v>
      </c>
      <c r="D6" s="8">
        <v>1</v>
      </c>
      <c r="E6" s="11" t="str">
        <f>IFERROR(VLOOKUP(D6,'Property Master'!$A$2:$J$7,2,FALSE),"")</f>
        <v>Lakeview Residences</v>
      </c>
      <c r="F6" s="11" t="str">
        <f>IFERROR(VLOOKUP(D6,'Property Master'!$A$2:$J$7,3,FALSE),"")</f>
        <v>Multifamily</v>
      </c>
      <c r="G6" s="8" t="s">
        <v>70</v>
      </c>
      <c r="H6" s="11" t="str">
        <f>IFERROR(VLOOKUP(G6,'Vendor Master'!$A$2:$H$11,2,FALSE),"")</f>
        <v>HVAC</v>
      </c>
      <c r="I6" s="11" t="str">
        <f>IFERROR(VLOOKUP(G6,'Vendor Master'!$A$2:$H$11,3,FALSE),"")</f>
        <v>Yes</v>
      </c>
      <c r="J6" s="12">
        <f>IFERROR(VLOOKUP(G6,'Vendor Master'!$A$2:$H$11,4,FALSE),0)</f>
        <v>4.8</v>
      </c>
      <c r="K6" s="8" t="s">
        <v>71</v>
      </c>
      <c r="L6" s="8" t="s">
        <v>72</v>
      </c>
      <c r="M6" s="13">
        <v>12400</v>
      </c>
      <c r="N6" s="13">
        <v>11940</v>
      </c>
      <c r="O6" s="14">
        <f t="shared" si="1"/>
        <v>460</v>
      </c>
      <c r="P6" s="15">
        <f t="shared" si="2"/>
        <v>3.7096774193548385E-2</v>
      </c>
      <c r="Q6" s="8" t="s">
        <v>73</v>
      </c>
      <c r="R6" s="8" t="s">
        <v>74</v>
      </c>
      <c r="S6" s="8" t="s">
        <v>75</v>
      </c>
      <c r="T6" s="16">
        <f>IFERROR(VLOOKUP(S6,Assumptions!$A$7:$B$12,2,FALSE),0)</f>
        <v>0</v>
      </c>
      <c r="U6" s="14">
        <f t="shared" si="3"/>
        <v>0</v>
      </c>
      <c r="V6" s="14">
        <f t="shared" si="4"/>
        <v>11940</v>
      </c>
      <c r="W6" s="17">
        <f>U6*12/Assumptions!$B$4</f>
        <v>0</v>
      </c>
      <c r="X6" s="8" t="s">
        <v>76</v>
      </c>
    </row>
    <row r="7" spans="1:24" ht="28.5" hidden="1">
      <c r="A7" s="8" t="s">
        <v>89</v>
      </c>
      <c r="B7" s="9">
        <v>46177</v>
      </c>
      <c r="C7" s="10">
        <f t="shared" si="0"/>
        <v>46174</v>
      </c>
      <c r="D7" s="8">
        <v>1</v>
      </c>
      <c r="E7" s="11" t="str">
        <f>IFERROR(VLOOKUP(D7,'Property Master'!$A$2:$J$7,2,FALSE),"")</f>
        <v>Lakeview Residences</v>
      </c>
      <c r="F7" s="11" t="str">
        <f>IFERROR(VLOOKUP(D7,'Property Master'!$A$2:$J$7,3,FALSE),"")</f>
        <v>Multifamily</v>
      </c>
      <c r="G7" s="8" t="s">
        <v>90</v>
      </c>
      <c r="H7" s="11" t="str">
        <f>IFERROR(VLOOKUP(G7,'Vendor Master'!$A$2:$H$11,2,FALSE),"")</f>
        <v>Fire &amp; Life Safety</v>
      </c>
      <c r="I7" s="11" t="str">
        <f>IFERROR(VLOOKUP(G7,'Vendor Master'!$A$2:$H$11,3,FALSE),"")</f>
        <v>Yes</v>
      </c>
      <c r="J7" s="12">
        <f>IFERROR(VLOOKUP(G7,'Vendor Master'!$A$2:$H$11,4,FALSE),0)</f>
        <v>4.9000000000000004</v>
      </c>
      <c r="K7" s="8" t="s">
        <v>82</v>
      </c>
      <c r="L7" s="8" t="s">
        <v>83</v>
      </c>
      <c r="M7" s="13">
        <v>4200</v>
      </c>
      <c r="N7" s="13">
        <v>4400</v>
      </c>
      <c r="O7" s="14">
        <f t="shared" si="1"/>
        <v>-200</v>
      </c>
      <c r="P7" s="15">
        <f t="shared" si="2"/>
        <v>-4.7619047619047616E-2</v>
      </c>
      <c r="Q7" s="8" t="s">
        <v>73</v>
      </c>
      <c r="R7" s="8" t="s">
        <v>84</v>
      </c>
      <c r="S7" s="8" t="s">
        <v>75</v>
      </c>
      <c r="T7" s="16">
        <f>IFERROR(VLOOKUP(S7,Assumptions!$A$7:$B$12,2,FALSE),0)</f>
        <v>0</v>
      </c>
      <c r="U7" s="14">
        <f t="shared" si="3"/>
        <v>0</v>
      </c>
      <c r="V7" s="14">
        <f t="shared" si="4"/>
        <v>4400</v>
      </c>
      <c r="W7" s="17">
        <f>U7*12/Assumptions!$B$4</f>
        <v>0</v>
      </c>
      <c r="X7" s="8" t="s">
        <v>76</v>
      </c>
    </row>
    <row r="8" spans="1:24" ht="28.5" hidden="1">
      <c r="A8" s="8" t="s">
        <v>91</v>
      </c>
      <c r="B8" s="9">
        <v>46036</v>
      </c>
      <c r="C8" s="10">
        <f t="shared" si="0"/>
        <v>46023</v>
      </c>
      <c r="D8" s="8">
        <v>1</v>
      </c>
      <c r="E8" s="11" t="str">
        <f>IFERROR(VLOOKUP(D8,'Property Master'!$A$2:$J$7,2,FALSE),"")</f>
        <v>Lakeview Residences</v>
      </c>
      <c r="F8" s="11" t="str">
        <f>IFERROR(VLOOKUP(D8,'Property Master'!$A$2:$J$7,3,FALSE),"")</f>
        <v>Multifamily</v>
      </c>
      <c r="G8" s="8" t="s">
        <v>92</v>
      </c>
      <c r="H8" s="11" t="str">
        <f>IFERROR(VLOOKUP(G8,'Vendor Master'!$A$2:$H$11,2,FALSE),"")</f>
        <v>Roofing</v>
      </c>
      <c r="I8" s="11" t="str">
        <f>IFERROR(VLOOKUP(G8,'Vendor Master'!$A$2:$H$11,3,FALSE),"")</f>
        <v>No</v>
      </c>
      <c r="J8" s="12">
        <f>IFERROR(VLOOKUP(G8,'Vendor Master'!$A$2:$H$11,4,FALSE),0)</f>
        <v>4.2</v>
      </c>
      <c r="K8" s="8" t="s">
        <v>71</v>
      </c>
      <c r="L8" s="8" t="s">
        <v>72</v>
      </c>
      <c r="M8" s="13">
        <v>10000</v>
      </c>
      <c r="N8" s="13">
        <v>9350</v>
      </c>
      <c r="O8" s="14">
        <f t="shared" si="1"/>
        <v>650</v>
      </c>
      <c r="P8" s="15">
        <f t="shared" si="2"/>
        <v>6.5000000000000002E-2</v>
      </c>
      <c r="Q8" s="8" t="s">
        <v>73</v>
      </c>
      <c r="R8" s="8" t="s">
        <v>74</v>
      </c>
      <c r="S8" s="8" t="s">
        <v>79</v>
      </c>
      <c r="T8" s="16">
        <f>IFERROR(VLOOKUP(S8,Assumptions!$A$7:$B$12,2,FALSE),0)</f>
        <v>0.08</v>
      </c>
      <c r="U8" s="14">
        <f t="shared" si="3"/>
        <v>748</v>
      </c>
      <c r="V8" s="14">
        <f t="shared" si="4"/>
        <v>8602</v>
      </c>
      <c r="W8" s="17">
        <f>U8*12/Assumptions!$B$4</f>
        <v>1496</v>
      </c>
      <c r="X8" s="8" t="s">
        <v>80</v>
      </c>
    </row>
    <row r="9" spans="1:24" ht="29.25" hidden="1">
      <c r="A9" s="8" t="s">
        <v>93</v>
      </c>
      <c r="B9" s="9">
        <v>46058</v>
      </c>
      <c r="C9" s="10">
        <f t="shared" si="0"/>
        <v>46054</v>
      </c>
      <c r="D9" s="8">
        <v>1</v>
      </c>
      <c r="E9" s="11" t="str">
        <f>IFERROR(VLOOKUP(D9,'Property Master'!$A$2:$J$7,2,FALSE),"")</f>
        <v>Lakeview Residences</v>
      </c>
      <c r="F9" s="11" t="str">
        <f>IFERROR(VLOOKUP(D9,'Property Master'!$A$2:$J$7,3,FALSE),"")</f>
        <v>Multifamily</v>
      </c>
      <c r="G9" s="8" t="s">
        <v>94</v>
      </c>
      <c r="H9" s="11" t="str">
        <f>IFERROR(VLOOKUP(G9,'Vendor Master'!$A$2:$H$11,2,FALSE),"")</f>
        <v>Landscaping</v>
      </c>
      <c r="I9" s="11" t="str">
        <f>IFERROR(VLOOKUP(G9,'Vendor Master'!$A$2:$H$11,3,FALSE),"")</f>
        <v>Yes</v>
      </c>
      <c r="J9" s="12">
        <f>IFERROR(VLOOKUP(G9,'Vendor Master'!$A$2:$H$11,4,FALSE),0)</f>
        <v>4.5</v>
      </c>
      <c r="K9" s="8" t="s">
        <v>95</v>
      </c>
      <c r="L9" s="8" t="s">
        <v>96</v>
      </c>
      <c r="M9" s="13">
        <v>4300</v>
      </c>
      <c r="N9" s="13">
        <v>5800</v>
      </c>
      <c r="O9" s="14">
        <f t="shared" si="1"/>
        <v>-1500</v>
      </c>
      <c r="P9" s="15">
        <f t="shared" si="2"/>
        <v>-0.34883720930232559</v>
      </c>
      <c r="Q9" s="8" t="s">
        <v>97</v>
      </c>
      <c r="R9" s="8" t="s">
        <v>74</v>
      </c>
      <c r="S9" s="8" t="s">
        <v>98</v>
      </c>
      <c r="T9" s="16">
        <f>IFERROR(VLOOKUP(S9,Assumptions!$A$7:$B$12,2,FALSE),0)</f>
        <v>0.2</v>
      </c>
      <c r="U9" s="14">
        <f t="shared" si="3"/>
        <v>1160</v>
      </c>
      <c r="V9" s="14">
        <f t="shared" si="4"/>
        <v>4640</v>
      </c>
      <c r="W9" s="17">
        <f>U9*12/Assumptions!$B$4</f>
        <v>2320</v>
      </c>
      <c r="X9" s="8" t="s">
        <v>99</v>
      </c>
    </row>
    <row r="10" spans="1:24" ht="28.5" hidden="1">
      <c r="A10" s="8" t="s">
        <v>100</v>
      </c>
      <c r="B10" s="9">
        <v>46090</v>
      </c>
      <c r="C10" s="10">
        <f t="shared" si="0"/>
        <v>46082</v>
      </c>
      <c r="D10" s="8">
        <v>1</v>
      </c>
      <c r="E10" s="11" t="str">
        <f>IFERROR(VLOOKUP(D10,'Property Master'!$A$2:$J$7,2,FALSE),"")</f>
        <v>Lakeview Residences</v>
      </c>
      <c r="F10" s="11" t="str">
        <f>IFERROR(VLOOKUP(D10,'Property Master'!$A$2:$J$7,3,FALSE),"")</f>
        <v>Multifamily</v>
      </c>
      <c r="G10" s="8" t="s">
        <v>78</v>
      </c>
      <c r="H10" s="11" t="str">
        <f>IFERROR(VLOOKUP(G10,'Vendor Master'!$A$2:$H$11,2,FALSE),"")</f>
        <v>Cleaning</v>
      </c>
      <c r="I10" s="11" t="str">
        <f>IFERROR(VLOOKUP(G10,'Vendor Master'!$A$2:$H$11,3,FALSE),"")</f>
        <v>No</v>
      </c>
      <c r="J10" s="12">
        <f>IFERROR(VLOOKUP(G10,'Vendor Master'!$A$2:$H$11,4,FALSE),0)</f>
        <v>4.0999999999999996</v>
      </c>
      <c r="K10" s="8" t="s">
        <v>82</v>
      </c>
      <c r="L10" s="8" t="s">
        <v>72</v>
      </c>
      <c r="M10" s="13">
        <v>6000</v>
      </c>
      <c r="N10" s="13">
        <v>6040</v>
      </c>
      <c r="O10" s="14">
        <f t="shared" si="1"/>
        <v>-40</v>
      </c>
      <c r="P10" s="15">
        <f t="shared" si="2"/>
        <v>-6.6666666666666671E-3</v>
      </c>
      <c r="Q10" s="8" t="s">
        <v>73</v>
      </c>
      <c r="R10" s="8" t="s">
        <v>84</v>
      </c>
      <c r="S10" s="8" t="s">
        <v>79</v>
      </c>
      <c r="T10" s="16">
        <f>IFERROR(VLOOKUP(S10,Assumptions!$A$7:$B$12,2,FALSE),0)</f>
        <v>0.08</v>
      </c>
      <c r="U10" s="14">
        <f t="shared" si="3"/>
        <v>483.2</v>
      </c>
      <c r="V10" s="14">
        <f t="shared" si="4"/>
        <v>5556.8</v>
      </c>
      <c r="W10" s="17">
        <f>U10*12/Assumptions!$B$4</f>
        <v>966.4</v>
      </c>
      <c r="X10" s="8" t="s">
        <v>80</v>
      </c>
    </row>
    <row r="11" spans="1:24" ht="28.5" hidden="1">
      <c r="A11" s="8" t="s">
        <v>101</v>
      </c>
      <c r="B11" s="9">
        <v>46030</v>
      </c>
      <c r="C11" s="10">
        <f t="shared" si="0"/>
        <v>46023</v>
      </c>
      <c r="D11" s="8">
        <v>2</v>
      </c>
      <c r="E11" s="11" t="str">
        <f>IFERROR(VLOOKUP(D11,'Property Master'!$A$2:$J$7,2,FALSE),"")</f>
        <v>Cypress Office Center</v>
      </c>
      <c r="F11" s="11" t="str">
        <f>IFERROR(VLOOKUP(D11,'Property Master'!$A$2:$J$7,3,FALSE),"")</f>
        <v>Office</v>
      </c>
      <c r="G11" s="8" t="s">
        <v>90</v>
      </c>
      <c r="H11" s="11" t="str">
        <f>IFERROR(VLOOKUP(G11,'Vendor Master'!$A$2:$H$11,2,FALSE),"")</f>
        <v>Fire &amp; Life Safety</v>
      </c>
      <c r="I11" s="11" t="str">
        <f>IFERROR(VLOOKUP(G11,'Vendor Master'!$A$2:$H$11,3,FALSE),"")</f>
        <v>Yes</v>
      </c>
      <c r="J11" s="12">
        <f>IFERROR(VLOOKUP(G11,'Vendor Master'!$A$2:$H$11,4,FALSE),0)</f>
        <v>4.9000000000000004</v>
      </c>
      <c r="K11" s="8" t="s">
        <v>82</v>
      </c>
      <c r="L11" s="8" t="s">
        <v>72</v>
      </c>
      <c r="M11" s="13">
        <v>10000</v>
      </c>
      <c r="N11" s="13">
        <v>12280</v>
      </c>
      <c r="O11" s="14">
        <f t="shared" si="1"/>
        <v>-2280</v>
      </c>
      <c r="P11" s="15">
        <f t="shared" si="2"/>
        <v>-0.22800000000000001</v>
      </c>
      <c r="Q11" s="8" t="s">
        <v>73</v>
      </c>
      <c r="R11" s="8" t="s">
        <v>84</v>
      </c>
      <c r="S11" s="8" t="s">
        <v>102</v>
      </c>
      <c r="T11" s="16">
        <f>IFERROR(VLOOKUP(S11,Assumptions!$A$7:$B$12,2,FALSE),0)</f>
        <v>0.06</v>
      </c>
      <c r="U11" s="14">
        <f t="shared" si="3"/>
        <v>736.8</v>
      </c>
      <c r="V11" s="14">
        <f t="shared" si="4"/>
        <v>11543.2</v>
      </c>
      <c r="W11" s="17">
        <f>U11*12/Assumptions!$B$4</f>
        <v>1473.5999999999997</v>
      </c>
      <c r="X11" s="8" t="s">
        <v>103</v>
      </c>
    </row>
    <row r="12" spans="1:24" ht="28.5" hidden="1">
      <c r="A12" s="8" t="s">
        <v>104</v>
      </c>
      <c r="B12" s="9">
        <v>46063</v>
      </c>
      <c r="C12" s="10">
        <f t="shared" si="0"/>
        <v>46054</v>
      </c>
      <c r="D12" s="8">
        <v>2</v>
      </c>
      <c r="E12" s="11" t="str">
        <f>IFERROR(VLOOKUP(D12,'Property Master'!$A$2:$J$7,2,FALSE),"")</f>
        <v>Cypress Office Center</v>
      </c>
      <c r="F12" s="11" t="str">
        <f>IFERROR(VLOOKUP(D12,'Property Master'!$A$2:$J$7,3,FALSE),"")</f>
        <v>Office</v>
      </c>
      <c r="G12" s="8" t="s">
        <v>105</v>
      </c>
      <c r="H12" s="11" t="str">
        <f>IFERROR(VLOOKUP(G12,'Vendor Master'!$A$2:$H$11,2,FALSE),"")</f>
        <v>Plumbing</v>
      </c>
      <c r="I12" s="11" t="str">
        <f>IFERROR(VLOOKUP(G12,'Vendor Master'!$A$2:$H$11,3,FALSE),"")</f>
        <v>Yes</v>
      </c>
      <c r="J12" s="12">
        <f>IFERROR(VLOOKUP(G12,'Vendor Master'!$A$2:$H$11,4,FALSE),0)</f>
        <v>4.5999999999999996</v>
      </c>
      <c r="K12" s="8" t="s">
        <v>71</v>
      </c>
      <c r="L12" s="8" t="s">
        <v>72</v>
      </c>
      <c r="M12" s="13">
        <v>8100</v>
      </c>
      <c r="N12" s="13">
        <v>7260</v>
      </c>
      <c r="O12" s="14">
        <f t="shared" si="1"/>
        <v>840</v>
      </c>
      <c r="P12" s="15">
        <f t="shared" si="2"/>
        <v>0.1037037037037037</v>
      </c>
      <c r="Q12" s="8" t="s">
        <v>73</v>
      </c>
      <c r="R12" s="8" t="s">
        <v>87</v>
      </c>
      <c r="S12" s="8" t="s">
        <v>75</v>
      </c>
      <c r="T12" s="16">
        <f>IFERROR(VLOOKUP(S12,Assumptions!$A$7:$B$12,2,FALSE),0)</f>
        <v>0</v>
      </c>
      <c r="U12" s="14">
        <f t="shared" si="3"/>
        <v>0</v>
      </c>
      <c r="V12" s="14">
        <f t="shared" si="4"/>
        <v>7260</v>
      </c>
      <c r="W12" s="17">
        <f>U12*12/Assumptions!$B$4</f>
        <v>0</v>
      </c>
      <c r="X12" s="8" t="s">
        <v>76</v>
      </c>
    </row>
    <row r="13" spans="1:24" hidden="1">
      <c r="A13" s="8" t="s">
        <v>106</v>
      </c>
      <c r="B13" s="9">
        <v>46102</v>
      </c>
      <c r="C13" s="10">
        <f t="shared" si="0"/>
        <v>46082</v>
      </c>
      <c r="D13" s="8">
        <v>2</v>
      </c>
      <c r="E13" s="11" t="str">
        <f>IFERROR(VLOOKUP(D13,'Property Master'!$A$2:$J$7,2,FALSE),"")</f>
        <v>Cypress Office Center</v>
      </c>
      <c r="F13" s="11" t="str">
        <f>IFERROR(VLOOKUP(D13,'Property Master'!$A$2:$J$7,3,FALSE),"")</f>
        <v>Office</v>
      </c>
      <c r="G13" s="8" t="s">
        <v>86</v>
      </c>
      <c r="H13" s="11" t="str">
        <f>IFERROR(VLOOKUP(G13,'Vendor Master'!$A$2:$H$11,2,FALSE),"")</f>
        <v>General Contractor</v>
      </c>
      <c r="I13" s="11" t="str">
        <f>IFERROR(VLOOKUP(G13,'Vendor Master'!$A$2:$H$11,3,FALSE),"")</f>
        <v>Yes</v>
      </c>
      <c r="J13" s="12">
        <f>IFERROR(VLOOKUP(G13,'Vendor Master'!$A$2:$H$11,4,FALSE),0)</f>
        <v>4.3</v>
      </c>
      <c r="K13" s="8" t="s">
        <v>71</v>
      </c>
      <c r="L13" s="8" t="s">
        <v>72</v>
      </c>
      <c r="M13" s="13">
        <v>15900</v>
      </c>
      <c r="N13" s="13">
        <v>17480</v>
      </c>
      <c r="O13" s="14">
        <f t="shared" si="1"/>
        <v>-1580</v>
      </c>
      <c r="P13" s="15">
        <f t="shared" si="2"/>
        <v>-9.9371069182389943E-2</v>
      </c>
      <c r="Q13" s="8" t="s">
        <v>73</v>
      </c>
      <c r="R13" s="8" t="s">
        <v>74</v>
      </c>
      <c r="S13" s="8" t="s">
        <v>107</v>
      </c>
      <c r="T13" s="16">
        <f>IFERROR(VLOOKUP(S13,Assumptions!$A$7:$B$12,2,FALSE),0)</f>
        <v>0.1</v>
      </c>
      <c r="U13" s="14">
        <f t="shared" si="3"/>
        <v>1748</v>
      </c>
      <c r="V13" s="14">
        <f t="shared" si="4"/>
        <v>15732</v>
      </c>
      <c r="W13" s="17">
        <f>U13*12/Assumptions!$B$4</f>
        <v>3496</v>
      </c>
      <c r="X13" s="8" t="s">
        <v>108</v>
      </c>
    </row>
    <row r="14" spans="1:24" ht="28.5" hidden="1">
      <c r="A14" s="8" t="s">
        <v>109</v>
      </c>
      <c r="B14" s="9">
        <v>46123</v>
      </c>
      <c r="C14" s="10">
        <f t="shared" si="0"/>
        <v>46113</v>
      </c>
      <c r="D14" s="8">
        <v>2</v>
      </c>
      <c r="E14" s="11" t="str">
        <f>IFERROR(VLOOKUP(D14,'Property Master'!$A$2:$J$7,2,FALSE),"")</f>
        <v>Cypress Office Center</v>
      </c>
      <c r="F14" s="11" t="str">
        <f>IFERROR(VLOOKUP(D14,'Property Master'!$A$2:$J$7,3,FALSE),"")</f>
        <v>Office</v>
      </c>
      <c r="G14" s="8" t="s">
        <v>110</v>
      </c>
      <c r="H14" s="11" t="str">
        <f>IFERROR(VLOOKUP(G14,'Vendor Master'!$A$2:$H$11,2,FALSE),"")</f>
        <v>Electrical</v>
      </c>
      <c r="I14" s="11" t="str">
        <f>IFERROR(VLOOKUP(G14,'Vendor Master'!$A$2:$H$11,3,FALSE),"")</f>
        <v>Yes</v>
      </c>
      <c r="J14" s="12">
        <f>IFERROR(VLOOKUP(G14,'Vendor Master'!$A$2:$H$11,4,FALSE),0)</f>
        <v>4.7</v>
      </c>
      <c r="K14" s="8" t="s">
        <v>71</v>
      </c>
      <c r="L14" s="8" t="s">
        <v>72</v>
      </c>
      <c r="M14" s="13">
        <v>13000</v>
      </c>
      <c r="N14" s="13">
        <v>12780</v>
      </c>
      <c r="O14" s="14">
        <f t="shared" si="1"/>
        <v>220</v>
      </c>
      <c r="P14" s="15">
        <f t="shared" si="2"/>
        <v>1.6923076923076923E-2</v>
      </c>
      <c r="Q14" s="8" t="s">
        <v>73</v>
      </c>
      <c r="R14" s="8" t="s">
        <v>84</v>
      </c>
      <c r="S14" s="8" t="s">
        <v>75</v>
      </c>
      <c r="T14" s="16">
        <f>IFERROR(VLOOKUP(S14,Assumptions!$A$7:$B$12,2,FALSE),0)</f>
        <v>0</v>
      </c>
      <c r="U14" s="14">
        <f t="shared" si="3"/>
        <v>0</v>
      </c>
      <c r="V14" s="14">
        <f t="shared" si="4"/>
        <v>12780</v>
      </c>
      <c r="W14" s="17">
        <f>U14*12/Assumptions!$B$4</f>
        <v>0</v>
      </c>
      <c r="X14" s="8" t="s">
        <v>76</v>
      </c>
    </row>
    <row r="15" spans="1:24" ht="29.25" hidden="1">
      <c r="A15" s="8" t="s">
        <v>111</v>
      </c>
      <c r="B15" s="9">
        <v>46156</v>
      </c>
      <c r="C15" s="10">
        <f t="shared" si="0"/>
        <v>46143</v>
      </c>
      <c r="D15" s="8">
        <v>2</v>
      </c>
      <c r="E15" s="11" t="str">
        <f>IFERROR(VLOOKUP(D15,'Property Master'!$A$2:$J$7,2,FALSE),"")</f>
        <v>Cypress Office Center</v>
      </c>
      <c r="F15" s="11" t="str">
        <f>IFERROR(VLOOKUP(D15,'Property Master'!$A$2:$J$7,3,FALSE),"")</f>
        <v>Office</v>
      </c>
      <c r="G15" s="8" t="s">
        <v>110</v>
      </c>
      <c r="H15" s="11" t="str">
        <f>IFERROR(VLOOKUP(G15,'Vendor Master'!$A$2:$H$11,2,FALSE),"")</f>
        <v>Electrical</v>
      </c>
      <c r="I15" s="11" t="str">
        <f>IFERROR(VLOOKUP(G15,'Vendor Master'!$A$2:$H$11,3,FALSE),"")</f>
        <v>Yes</v>
      </c>
      <c r="J15" s="12">
        <f>IFERROR(VLOOKUP(G15,'Vendor Master'!$A$2:$H$11,4,FALSE),0)</f>
        <v>4.7</v>
      </c>
      <c r="K15" s="8" t="s">
        <v>95</v>
      </c>
      <c r="L15" s="8" t="s">
        <v>96</v>
      </c>
      <c r="M15" s="13">
        <v>10100</v>
      </c>
      <c r="N15" s="13">
        <v>11640</v>
      </c>
      <c r="O15" s="14">
        <f t="shared" si="1"/>
        <v>-1540</v>
      </c>
      <c r="P15" s="15">
        <f t="shared" si="2"/>
        <v>-0.15247524752475247</v>
      </c>
      <c r="Q15" s="8" t="s">
        <v>97</v>
      </c>
      <c r="R15" s="8" t="s">
        <v>74</v>
      </c>
      <c r="S15" s="8" t="s">
        <v>98</v>
      </c>
      <c r="T15" s="16">
        <f>IFERROR(VLOOKUP(S15,Assumptions!$A$7:$B$12,2,FALSE),0)</f>
        <v>0.2</v>
      </c>
      <c r="U15" s="14">
        <f t="shared" si="3"/>
        <v>2328</v>
      </c>
      <c r="V15" s="14">
        <f t="shared" si="4"/>
        <v>9312</v>
      </c>
      <c r="W15" s="17">
        <f>U15*12/Assumptions!$B$4</f>
        <v>4656</v>
      </c>
      <c r="X15" s="8" t="s">
        <v>99</v>
      </c>
    </row>
    <row r="16" spans="1:24" ht="28.5" hidden="1">
      <c r="A16" s="8" t="s">
        <v>112</v>
      </c>
      <c r="B16" s="9">
        <v>46196</v>
      </c>
      <c r="C16" s="10">
        <f t="shared" si="0"/>
        <v>46174</v>
      </c>
      <c r="D16" s="8">
        <v>2</v>
      </c>
      <c r="E16" s="11" t="str">
        <f>IFERROR(VLOOKUP(D16,'Property Master'!$A$2:$J$7,2,FALSE),"")</f>
        <v>Cypress Office Center</v>
      </c>
      <c r="F16" s="11" t="str">
        <f>IFERROR(VLOOKUP(D16,'Property Master'!$A$2:$J$7,3,FALSE),"")</f>
        <v>Office</v>
      </c>
      <c r="G16" s="8" t="s">
        <v>78</v>
      </c>
      <c r="H16" s="11" t="str">
        <f>IFERROR(VLOOKUP(G16,'Vendor Master'!$A$2:$H$11,2,FALSE),"")</f>
        <v>Cleaning</v>
      </c>
      <c r="I16" s="11" t="str">
        <f>IFERROR(VLOOKUP(G16,'Vendor Master'!$A$2:$H$11,3,FALSE),"")</f>
        <v>No</v>
      </c>
      <c r="J16" s="12">
        <f>IFERROR(VLOOKUP(G16,'Vendor Master'!$A$2:$H$11,4,FALSE),0)</f>
        <v>4.0999999999999996</v>
      </c>
      <c r="K16" s="8" t="s">
        <v>82</v>
      </c>
      <c r="L16" s="8" t="s">
        <v>83</v>
      </c>
      <c r="M16" s="13">
        <v>6000</v>
      </c>
      <c r="N16" s="13">
        <v>6460</v>
      </c>
      <c r="O16" s="14">
        <f t="shared" si="1"/>
        <v>-460</v>
      </c>
      <c r="P16" s="15">
        <f t="shared" si="2"/>
        <v>-7.6666666666666661E-2</v>
      </c>
      <c r="Q16" s="8" t="s">
        <v>73</v>
      </c>
      <c r="R16" s="8" t="s">
        <v>84</v>
      </c>
      <c r="S16" s="8" t="s">
        <v>79</v>
      </c>
      <c r="T16" s="16">
        <f>IFERROR(VLOOKUP(S16,Assumptions!$A$7:$B$12,2,FALSE),0)</f>
        <v>0.08</v>
      </c>
      <c r="U16" s="14">
        <f t="shared" si="3"/>
        <v>516.79999999999995</v>
      </c>
      <c r="V16" s="14">
        <f t="shared" si="4"/>
        <v>5943.2</v>
      </c>
      <c r="W16" s="17">
        <f>U16*12/Assumptions!$B$4</f>
        <v>1033.5999999999999</v>
      </c>
      <c r="X16" s="8" t="s">
        <v>80</v>
      </c>
    </row>
    <row r="17" spans="1:24" ht="28.5" hidden="1">
      <c r="A17" s="8" t="s">
        <v>113</v>
      </c>
      <c r="B17" s="9">
        <v>46039</v>
      </c>
      <c r="C17" s="10">
        <f t="shared" si="0"/>
        <v>46023</v>
      </c>
      <c r="D17" s="8">
        <v>2</v>
      </c>
      <c r="E17" s="11" t="str">
        <f>IFERROR(VLOOKUP(D17,'Property Master'!$A$2:$J$7,2,FALSE),"")</f>
        <v>Cypress Office Center</v>
      </c>
      <c r="F17" s="11" t="str">
        <f>IFERROR(VLOOKUP(D17,'Property Master'!$A$2:$J$7,3,FALSE),"")</f>
        <v>Office</v>
      </c>
      <c r="G17" s="8" t="s">
        <v>114</v>
      </c>
      <c r="H17" s="11" t="str">
        <f>IFERROR(VLOOKUP(G17,'Vendor Master'!$A$2:$H$11,2,FALSE),"")</f>
        <v>Pest Control</v>
      </c>
      <c r="I17" s="11" t="str">
        <f>IFERROR(VLOOKUP(G17,'Vendor Master'!$A$2:$H$11,3,FALSE),"")</f>
        <v>Yes</v>
      </c>
      <c r="J17" s="12">
        <f>IFERROR(VLOOKUP(G17,'Vendor Master'!$A$2:$H$11,4,FALSE),0)</f>
        <v>4.5999999999999996</v>
      </c>
      <c r="K17" s="8" t="s">
        <v>71</v>
      </c>
      <c r="L17" s="8" t="s">
        <v>72</v>
      </c>
      <c r="M17" s="13">
        <v>3200</v>
      </c>
      <c r="N17" s="13">
        <v>2900</v>
      </c>
      <c r="O17" s="14">
        <f t="shared" si="1"/>
        <v>300</v>
      </c>
      <c r="P17" s="15">
        <f t="shared" si="2"/>
        <v>9.375E-2</v>
      </c>
      <c r="Q17" s="8" t="s">
        <v>73</v>
      </c>
      <c r="R17" s="8" t="s">
        <v>87</v>
      </c>
      <c r="S17" s="8" t="s">
        <v>75</v>
      </c>
      <c r="T17" s="16">
        <f>IFERROR(VLOOKUP(S17,Assumptions!$A$7:$B$12,2,FALSE),0)</f>
        <v>0</v>
      </c>
      <c r="U17" s="14">
        <f t="shared" si="3"/>
        <v>0</v>
      </c>
      <c r="V17" s="14">
        <f t="shared" si="4"/>
        <v>2900</v>
      </c>
      <c r="W17" s="17">
        <f>U17*12/Assumptions!$B$4</f>
        <v>0</v>
      </c>
      <c r="X17" s="8" t="s">
        <v>76</v>
      </c>
    </row>
    <row r="18" spans="1:24" ht="28.5" hidden="1">
      <c r="A18" s="8" t="s">
        <v>115</v>
      </c>
      <c r="B18" s="9">
        <v>46076</v>
      </c>
      <c r="C18" s="10">
        <f t="shared" si="0"/>
        <v>46054</v>
      </c>
      <c r="D18" s="8">
        <v>2</v>
      </c>
      <c r="E18" s="11" t="str">
        <f>IFERROR(VLOOKUP(D18,'Property Master'!$A$2:$J$7,2,FALSE),"")</f>
        <v>Cypress Office Center</v>
      </c>
      <c r="F18" s="11" t="str">
        <f>IFERROR(VLOOKUP(D18,'Property Master'!$A$2:$J$7,3,FALSE),"")</f>
        <v>Office</v>
      </c>
      <c r="G18" s="8" t="s">
        <v>86</v>
      </c>
      <c r="H18" s="11" t="str">
        <f>IFERROR(VLOOKUP(G18,'Vendor Master'!$A$2:$H$11,2,FALSE),"")</f>
        <v>General Contractor</v>
      </c>
      <c r="I18" s="11" t="str">
        <f>IFERROR(VLOOKUP(G18,'Vendor Master'!$A$2:$H$11,3,FALSE),"")</f>
        <v>Yes</v>
      </c>
      <c r="J18" s="12">
        <f>IFERROR(VLOOKUP(G18,'Vendor Master'!$A$2:$H$11,4,FALSE),0)</f>
        <v>4.3</v>
      </c>
      <c r="K18" s="8" t="s">
        <v>71</v>
      </c>
      <c r="L18" s="8" t="s">
        <v>72</v>
      </c>
      <c r="M18" s="13">
        <v>11200</v>
      </c>
      <c r="N18" s="13">
        <v>9860</v>
      </c>
      <c r="O18" s="14">
        <f t="shared" si="1"/>
        <v>1340</v>
      </c>
      <c r="P18" s="15">
        <f t="shared" si="2"/>
        <v>0.11964285714285715</v>
      </c>
      <c r="Q18" s="8" t="s">
        <v>73</v>
      </c>
      <c r="R18" s="8" t="s">
        <v>84</v>
      </c>
      <c r="S18" s="8" t="s">
        <v>75</v>
      </c>
      <c r="T18" s="16">
        <f>IFERROR(VLOOKUP(S18,Assumptions!$A$7:$B$12,2,FALSE),0)</f>
        <v>0</v>
      </c>
      <c r="U18" s="14">
        <f t="shared" si="3"/>
        <v>0</v>
      </c>
      <c r="V18" s="14">
        <f t="shared" si="4"/>
        <v>9860</v>
      </c>
      <c r="W18" s="17">
        <f>U18*12/Assumptions!$B$4</f>
        <v>0</v>
      </c>
      <c r="X18" s="8" t="s">
        <v>76</v>
      </c>
    </row>
    <row r="19" spans="1:24" ht="29.25" hidden="1">
      <c r="A19" s="8" t="s">
        <v>116</v>
      </c>
      <c r="B19" s="9">
        <v>46107</v>
      </c>
      <c r="C19" s="10">
        <f t="shared" si="0"/>
        <v>46082</v>
      </c>
      <c r="D19" s="8">
        <v>2</v>
      </c>
      <c r="E19" s="11" t="str">
        <f>IFERROR(VLOOKUP(D19,'Property Master'!$A$2:$J$7,2,FALSE),"")</f>
        <v>Cypress Office Center</v>
      </c>
      <c r="F19" s="11" t="str">
        <f>IFERROR(VLOOKUP(D19,'Property Master'!$A$2:$J$7,3,FALSE),"")</f>
        <v>Office</v>
      </c>
      <c r="G19" s="8" t="s">
        <v>117</v>
      </c>
      <c r="H19" s="11" t="str">
        <f>IFERROR(VLOOKUP(G19,'Vendor Master'!$A$2:$H$11,2,FALSE),"")</f>
        <v>Elevator</v>
      </c>
      <c r="I19" s="11" t="str">
        <f>IFERROR(VLOOKUP(G19,'Vendor Master'!$A$2:$H$11,3,FALSE),"")</f>
        <v>Yes</v>
      </c>
      <c r="J19" s="12">
        <f>IFERROR(VLOOKUP(G19,'Vendor Master'!$A$2:$H$11,4,FALSE),0)</f>
        <v>4.4000000000000004</v>
      </c>
      <c r="K19" s="8" t="s">
        <v>95</v>
      </c>
      <c r="L19" s="8" t="s">
        <v>96</v>
      </c>
      <c r="M19" s="13">
        <v>11600</v>
      </c>
      <c r="N19" s="13">
        <v>13440</v>
      </c>
      <c r="O19" s="14">
        <f t="shared" si="1"/>
        <v>-1840</v>
      </c>
      <c r="P19" s="15">
        <f t="shared" si="2"/>
        <v>-0.15862068965517243</v>
      </c>
      <c r="Q19" s="8" t="s">
        <v>97</v>
      </c>
      <c r="R19" s="8" t="s">
        <v>84</v>
      </c>
      <c r="S19" s="8" t="s">
        <v>98</v>
      </c>
      <c r="T19" s="16">
        <f>IFERROR(VLOOKUP(S19,Assumptions!$A$7:$B$12,2,FALSE),0)</f>
        <v>0.2</v>
      </c>
      <c r="U19" s="14">
        <f t="shared" si="3"/>
        <v>2688</v>
      </c>
      <c r="V19" s="14">
        <f t="shared" si="4"/>
        <v>10752</v>
      </c>
      <c r="W19" s="17">
        <f>U19*12/Assumptions!$B$4</f>
        <v>5376</v>
      </c>
      <c r="X19" s="8" t="s">
        <v>99</v>
      </c>
    </row>
    <row r="20" spans="1:24" ht="28.5" hidden="1">
      <c r="A20" s="8" t="s">
        <v>118</v>
      </c>
      <c r="B20" s="9">
        <v>46041</v>
      </c>
      <c r="C20" s="10">
        <f t="shared" si="0"/>
        <v>46023</v>
      </c>
      <c r="D20" s="8">
        <v>3</v>
      </c>
      <c r="E20" s="11" t="str">
        <f>IFERROR(VLOOKUP(D20,'Property Master'!$A$2:$J$7,2,FALSE),"")</f>
        <v>Sunset Retail Plaza</v>
      </c>
      <c r="F20" s="11" t="str">
        <f>IFERROR(VLOOKUP(D20,'Property Master'!$A$2:$J$7,3,FALSE),"")</f>
        <v>Retail</v>
      </c>
      <c r="G20" s="8" t="s">
        <v>92</v>
      </c>
      <c r="H20" s="11" t="str">
        <f>IFERROR(VLOOKUP(G20,'Vendor Master'!$A$2:$H$11,2,FALSE),"")</f>
        <v>Roofing</v>
      </c>
      <c r="I20" s="11" t="str">
        <f>IFERROR(VLOOKUP(G20,'Vendor Master'!$A$2:$H$11,3,FALSE),"")</f>
        <v>No</v>
      </c>
      <c r="J20" s="12">
        <f>IFERROR(VLOOKUP(G20,'Vendor Master'!$A$2:$H$11,4,FALSE),0)</f>
        <v>4.2</v>
      </c>
      <c r="K20" s="8" t="s">
        <v>71</v>
      </c>
      <c r="L20" s="8" t="s">
        <v>72</v>
      </c>
      <c r="M20" s="13">
        <v>25000</v>
      </c>
      <c r="N20" s="13">
        <v>25240</v>
      </c>
      <c r="O20" s="14">
        <f t="shared" si="1"/>
        <v>-240</v>
      </c>
      <c r="P20" s="15">
        <f t="shared" si="2"/>
        <v>-9.5999999999999992E-3</v>
      </c>
      <c r="Q20" s="8" t="s">
        <v>73</v>
      </c>
      <c r="R20" s="8" t="s">
        <v>84</v>
      </c>
      <c r="S20" s="8" t="s">
        <v>79</v>
      </c>
      <c r="T20" s="16">
        <f>IFERROR(VLOOKUP(S20,Assumptions!$A$7:$B$12,2,FALSE),0)</f>
        <v>0.08</v>
      </c>
      <c r="U20" s="14">
        <f t="shared" si="3"/>
        <v>2019.2</v>
      </c>
      <c r="V20" s="14">
        <f t="shared" si="4"/>
        <v>23220.799999999999</v>
      </c>
      <c r="W20" s="17">
        <f>U20*12/Assumptions!$B$4</f>
        <v>4038.4</v>
      </c>
      <c r="X20" s="8" t="s">
        <v>80</v>
      </c>
    </row>
    <row r="21" spans="1:24" ht="28.5" hidden="1">
      <c r="A21" s="8" t="s">
        <v>119</v>
      </c>
      <c r="B21" s="9">
        <v>46072</v>
      </c>
      <c r="C21" s="10">
        <f t="shared" si="0"/>
        <v>46054</v>
      </c>
      <c r="D21" s="8">
        <v>3</v>
      </c>
      <c r="E21" s="11" t="str">
        <f>IFERROR(VLOOKUP(D21,'Property Master'!$A$2:$J$7,2,FALSE),"")</f>
        <v>Sunset Retail Plaza</v>
      </c>
      <c r="F21" s="11" t="str">
        <f>IFERROR(VLOOKUP(D21,'Property Master'!$A$2:$J$7,3,FALSE),"")</f>
        <v>Retail</v>
      </c>
      <c r="G21" s="8" t="s">
        <v>70</v>
      </c>
      <c r="H21" s="11" t="str">
        <f>IFERROR(VLOOKUP(G21,'Vendor Master'!$A$2:$H$11,2,FALSE),"")</f>
        <v>HVAC</v>
      </c>
      <c r="I21" s="11" t="str">
        <f>IFERROR(VLOOKUP(G21,'Vendor Master'!$A$2:$H$11,3,FALSE),"")</f>
        <v>Yes</v>
      </c>
      <c r="J21" s="12">
        <f>IFERROR(VLOOKUP(G21,'Vendor Master'!$A$2:$H$11,4,FALSE),0)</f>
        <v>4.8</v>
      </c>
      <c r="K21" s="8" t="s">
        <v>82</v>
      </c>
      <c r="L21" s="8" t="s">
        <v>83</v>
      </c>
      <c r="M21" s="13">
        <v>7300</v>
      </c>
      <c r="N21" s="13">
        <v>9170</v>
      </c>
      <c r="O21" s="14">
        <f t="shared" si="1"/>
        <v>-1870</v>
      </c>
      <c r="P21" s="15">
        <f t="shared" si="2"/>
        <v>-0.25616438356164384</v>
      </c>
      <c r="Q21" s="8" t="s">
        <v>73</v>
      </c>
      <c r="R21" s="8" t="s">
        <v>87</v>
      </c>
      <c r="S21" s="8" t="s">
        <v>102</v>
      </c>
      <c r="T21" s="16">
        <f>IFERROR(VLOOKUP(S21,Assumptions!$A$7:$B$12,2,FALSE),0)</f>
        <v>0.06</v>
      </c>
      <c r="U21" s="14">
        <f t="shared" si="3"/>
        <v>550.19999999999993</v>
      </c>
      <c r="V21" s="14">
        <f t="shared" si="4"/>
        <v>8619.7999999999993</v>
      </c>
      <c r="W21" s="17">
        <f>U21*12/Assumptions!$B$4</f>
        <v>1100.3999999999999</v>
      </c>
      <c r="X21" s="8" t="s">
        <v>103</v>
      </c>
    </row>
    <row r="22" spans="1:24" ht="28.5" hidden="1">
      <c r="A22" s="8" t="s">
        <v>120</v>
      </c>
      <c r="B22" s="9">
        <v>46093</v>
      </c>
      <c r="C22" s="10">
        <f t="shared" si="0"/>
        <v>46082</v>
      </c>
      <c r="D22" s="8">
        <v>3</v>
      </c>
      <c r="E22" s="11" t="str">
        <f>IFERROR(VLOOKUP(D22,'Property Master'!$A$2:$J$7,2,FALSE),"")</f>
        <v>Sunset Retail Plaza</v>
      </c>
      <c r="F22" s="11" t="str">
        <f>IFERROR(VLOOKUP(D22,'Property Master'!$A$2:$J$7,3,FALSE),"")</f>
        <v>Retail</v>
      </c>
      <c r="G22" s="8" t="s">
        <v>110</v>
      </c>
      <c r="H22" s="11" t="str">
        <f>IFERROR(VLOOKUP(G22,'Vendor Master'!$A$2:$H$11,2,FALSE),"")</f>
        <v>Electrical</v>
      </c>
      <c r="I22" s="11" t="str">
        <f>IFERROR(VLOOKUP(G22,'Vendor Master'!$A$2:$H$11,3,FALSE),"")</f>
        <v>Yes</v>
      </c>
      <c r="J22" s="12">
        <f>IFERROR(VLOOKUP(G22,'Vendor Master'!$A$2:$H$11,4,FALSE),0)</f>
        <v>4.7</v>
      </c>
      <c r="K22" s="8" t="s">
        <v>71</v>
      </c>
      <c r="L22" s="8" t="s">
        <v>72</v>
      </c>
      <c r="M22" s="13">
        <v>5000</v>
      </c>
      <c r="N22" s="13">
        <v>4980</v>
      </c>
      <c r="O22" s="14">
        <f t="shared" si="1"/>
        <v>20</v>
      </c>
      <c r="P22" s="15">
        <f t="shared" si="2"/>
        <v>4.0000000000000001E-3</v>
      </c>
      <c r="Q22" s="8" t="s">
        <v>73</v>
      </c>
      <c r="R22" s="8" t="s">
        <v>74</v>
      </c>
      <c r="S22" s="8" t="s">
        <v>75</v>
      </c>
      <c r="T22" s="16">
        <f>IFERROR(VLOOKUP(S22,Assumptions!$A$7:$B$12,2,FALSE),0)</f>
        <v>0</v>
      </c>
      <c r="U22" s="14">
        <f t="shared" si="3"/>
        <v>0</v>
      </c>
      <c r="V22" s="14">
        <f t="shared" si="4"/>
        <v>4980</v>
      </c>
      <c r="W22" s="17">
        <f>U22*12/Assumptions!$B$4</f>
        <v>0</v>
      </c>
      <c r="X22" s="8" t="s">
        <v>76</v>
      </c>
    </row>
    <row r="23" spans="1:24" ht="28.5" hidden="1">
      <c r="A23" s="8" t="s">
        <v>121</v>
      </c>
      <c r="B23" s="9">
        <v>46132</v>
      </c>
      <c r="C23" s="10">
        <f t="shared" si="0"/>
        <v>46113</v>
      </c>
      <c r="D23" s="8">
        <v>3</v>
      </c>
      <c r="E23" s="11" t="str">
        <f>IFERROR(VLOOKUP(D23,'Property Master'!$A$2:$J$7,2,FALSE),"")</f>
        <v>Sunset Retail Plaza</v>
      </c>
      <c r="F23" s="11" t="str">
        <f>IFERROR(VLOOKUP(D23,'Property Master'!$A$2:$J$7,3,FALSE),"")</f>
        <v>Retail</v>
      </c>
      <c r="G23" s="8" t="s">
        <v>105</v>
      </c>
      <c r="H23" s="11" t="str">
        <f>IFERROR(VLOOKUP(G23,'Vendor Master'!$A$2:$H$11,2,FALSE),"")</f>
        <v>Plumbing</v>
      </c>
      <c r="I23" s="11" t="str">
        <f>IFERROR(VLOOKUP(G23,'Vendor Master'!$A$2:$H$11,3,FALSE),"")</f>
        <v>Yes</v>
      </c>
      <c r="J23" s="12">
        <f>IFERROR(VLOOKUP(G23,'Vendor Master'!$A$2:$H$11,4,FALSE),0)</f>
        <v>4.5999999999999996</v>
      </c>
      <c r="K23" s="8" t="s">
        <v>71</v>
      </c>
      <c r="L23" s="8" t="s">
        <v>72</v>
      </c>
      <c r="M23" s="13">
        <v>14400</v>
      </c>
      <c r="N23" s="13">
        <v>13240</v>
      </c>
      <c r="O23" s="14">
        <f t="shared" si="1"/>
        <v>1160</v>
      </c>
      <c r="P23" s="15">
        <f t="shared" si="2"/>
        <v>8.0555555555555561E-2</v>
      </c>
      <c r="Q23" s="8" t="s">
        <v>73</v>
      </c>
      <c r="R23" s="8" t="s">
        <v>74</v>
      </c>
      <c r="S23" s="8" t="s">
        <v>75</v>
      </c>
      <c r="T23" s="16">
        <f>IFERROR(VLOOKUP(S23,Assumptions!$A$7:$B$12,2,FALSE),0)</f>
        <v>0</v>
      </c>
      <c r="U23" s="14">
        <f t="shared" si="3"/>
        <v>0</v>
      </c>
      <c r="V23" s="14">
        <f t="shared" si="4"/>
        <v>13240</v>
      </c>
      <c r="W23" s="17">
        <f>U23*12/Assumptions!$B$4</f>
        <v>0</v>
      </c>
      <c r="X23" s="8" t="s">
        <v>76</v>
      </c>
    </row>
    <row r="24" spans="1:24" ht="28.5" hidden="1">
      <c r="A24" s="8" t="s">
        <v>122</v>
      </c>
      <c r="B24" s="9">
        <v>46164</v>
      </c>
      <c r="C24" s="10">
        <f t="shared" si="0"/>
        <v>46143</v>
      </c>
      <c r="D24" s="8">
        <v>3</v>
      </c>
      <c r="E24" s="11" t="str">
        <f>IFERROR(VLOOKUP(D24,'Property Master'!$A$2:$J$7,2,FALSE),"")</f>
        <v>Sunset Retail Plaza</v>
      </c>
      <c r="F24" s="11" t="str">
        <f>IFERROR(VLOOKUP(D24,'Property Master'!$A$2:$J$7,3,FALSE),"")</f>
        <v>Retail</v>
      </c>
      <c r="G24" s="8" t="s">
        <v>90</v>
      </c>
      <c r="H24" s="11" t="str">
        <f>IFERROR(VLOOKUP(G24,'Vendor Master'!$A$2:$H$11,2,FALSE),"")</f>
        <v>Fire &amp; Life Safety</v>
      </c>
      <c r="I24" s="11" t="str">
        <f>IFERROR(VLOOKUP(G24,'Vendor Master'!$A$2:$H$11,3,FALSE),"")</f>
        <v>Yes</v>
      </c>
      <c r="J24" s="12">
        <f>IFERROR(VLOOKUP(G24,'Vendor Master'!$A$2:$H$11,4,FALSE),0)</f>
        <v>4.9000000000000004</v>
      </c>
      <c r="K24" s="8" t="s">
        <v>95</v>
      </c>
      <c r="L24" s="8" t="s">
        <v>96</v>
      </c>
      <c r="M24" s="13">
        <v>10300</v>
      </c>
      <c r="N24" s="13">
        <v>13020</v>
      </c>
      <c r="O24" s="14">
        <f t="shared" si="1"/>
        <v>-2720</v>
      </c>
      <c r="P24" s="15">
        <f t="shared" si="2"/>
        <v>-0.26407766990291265</v>
      </c>
      <c r="Q24" s="8" t="s">
        <v>123</v>
      </c>
      <c r="R24" s="8" t="s">
        <v>74</v>
      </c>
      <c r="S24" s="8" t="s">
        <v>102</v>
      </c>
      <c r="T24" s="16">
        <f>IFERROR(VLOOKUP(S24,Assumptions!$A$7:$B$12,2,FALSE),0)</f>
        <v>0.06</v>
      </c>
      <c r="U24" s="14">
        <f t="shared" si="3"/>
        <v>781.19999999999993</v>
      </c>
      <c r="V24" s="14">
        <f t="shared" si="4"/>
        <v>12238.8</v>
      </c>
      <c r="W24" s="17">
        <f>U24*12/Assumptions!$B$4</f>
        <v>1562.3999999999999</v>
      </c>
      <c r="X24" s="8" t="s">
        <v>103</v>
      </c>
    </row>
    <row r="25" spans="1:24" ht="28.5" hidden="1">
      <c r="A25" s="8" t="s">
        <v>124</v>
      </c>
      <c r="B25" s="9">
        <v>46192</v>
      </c>
      <c r="C25" s="10">
        <f t="shared" si="0"/>
        <v>46174</v>
      </c>
      <c r="D25" s="8">
        <v>3</v>
      </c>
      <c r="E25" s="11" t="str">
        <f>IFERROR(VLOOKUP(D25,'Property Master'!$A$2:$J$7,2,FALSE),"")</f>
        <v>Sunset Retail Plaza</v>
      </c>
      <c r="F25" s="11" t="str">
        <f>IFERROR(VLOOKUP(D25,'Property Master'!$A$2:$J$7,3,FALSE),"")</f>
        <v>Retail</v>
      </c>
      <c r="G25" s="8" t="s">
        <v>94</v>
      </c>
      <c r="H25" s="11" t="str">
        <f>IFERROR(VLOOKUP(G25,'Vendor Master'!$A$2:$H$11,2,FALSE),"")</f>
        <v>Landscaping</v>
      </c>
      <c r="I25" s="11" t="str">
        <f>IFERROR(VLOOKUP(G25,'Vendor Master'!$A$2:$H$11,3,FALSE),"")</f>
        <v>Yes</v>
      </c>
      <c r="J25" s="12">
        <f>IFERROR(VLOOKUP(G25,'Vendor Master'!$A$2:$H$11,4,FALSE),0)</f>
        <v>4.5</v>
      </c>
      <c r="K25" s="8" t="s">
        <v>71</v>
      </c>
      <c r="L25" s="8" t="s">
        <v>72</v>
      </c>
      <c r="M25" s="13">
        <v>2900</v>
      </c>
      <c r="N25" s="13">
        <v>2570</v>
      </c>
      <c r="O25" s="14">
        <f t="shared" si="1"/>
        <v>330</v>
      </c>
      <c r="P25" s="15">
        <f t="shared" si="2"/>
        <v>0.11379310344827587</v>
      </c>
      <c r="Q25" s="8" t="s">
        <v>73</v>
      </c>
      <c r="R25" s="8" t="s">
        <v>74</v>
      </c>
      <c r="S25" s="8" t="s">
        <v>75</v>
      </c>
      <c r="T25" s="16">
        <f>IFERROR(VLOOKUP(S25,Assumptions!$A$7:$B$12,2,FALSE),0)</f>
        <v>0</v>
      </c>
      <c r="U25" s="14">
        <f t="shared" si="3"/>
        <v>0</v>
      </c>
      <c r="V25" s="14">
        <f t="shared" si="4"/>
        <v>2570</v>
      </c>
      <c r="W25" s="17">
        <f>U25*12/Assumptions!$B$4</f>
        <v>0</v>
      </c>
      <c r="X25" s="8" t="s">
        <v>76</v>
      </c>
    </row>
    <row r="26" spans="1:24" ht="28.5" hidden="1">
      <c r="A26" s="8" t="s">
        <v>125</v>
      </c>
      <c r="B26" s="9">
        <v>46025</v>
      </c>
      <c r="C26" s="10">
        <f t="shared" si="0"/>
        <v>46023</v>
      </c>
      <c r="D26" s="8">
        <v>3</v>
      </c>
      <c r="E26" s="11" t="str">
        <f>IFERROR(VLOOKUP(D26,'Property Master'!$A$2:$J$7,2,FALSE),"")</f>
        <v>Sunset Retail Plaza</v>
      </c>
      <c r="F26" s="11" t="str">
        <f>IFERROR(VLOOKUP(D26,'Property Master'!$A$2:$J$7,3,FALSE),"")</f>
        <v>Retail</v>
      </c>
      <c r="G26" s="8" t="s">
        <v>110</v>
      </c>
      <c r="H26" s="11" t="str">
        <f>IFERROR(VLOOKUP(G26,'Vendor Master'!$A$2:$H$11,2,FALSE),"")</f>
        <v>Electrical</v>
      </c>
      <c r="I26" s="11" t="str">
        <f>IFERROR(VLOOKUP(G26,'Vendor Master'!$A$2:$H$11,3,FALSE),"")</f>
        <v>Yes</v>
      </c>
      <c r="J26" s="12">
        <f>IFERROR(VLOOKUP(G26,'Vendor Master'!$A$2:$H$11,4,FALSE),0)</f>
        <v>4.7</v>
      </c>
      <c r="K26" s="8" t="s">
        <v>82</v>
      </c>
      <c r="L26" s="8" t="s">
        <v>72</v>
      </c>
      <c r="M26" s="13">
        <v>6700</v>
      </c>
      <c r="N26" s="13">
        <v>8370</v>
      </c>
      <c r="O26" s="14">
        <f t="shared" si="1"/>
        <v>-1670</v>
      </c>
      <c r="P26" s="15">
        <f t="shared" si="2"/>
        <v>-0.24925373134328357</v>
      </c>
      <c r="Q26" s="8" t="s">
        <v>73</v>
      </c>
      <c r="R26" s="8" t="s">
        <v>87</v>
      </c>
      <c r="S26" s="8" t="s">
        <v>102</v>
      </c>
      <c r="T26" s="16">
        <f>IFERROR(VLOOKUP(S26,Assumptions!$A$7:$B$12,2,FALSE),0)</f>
        <v>0.06</v>
      </c>
      <c r="U26" s="14">
        <f t="shared" si="3"/>
        <v>502.2</v>
      </c>
      <c r="V26" s="14">
        <f t="shared" si="4"/>
        <v>7867.8</v>
      </c>
      <c r="W26" s="17">
        <f>U26*12/Assumptions!$B$4</f>
        <v>1004.4</v>
      </c>
      <c r="X26" s="8" t="s">
        <v>103</v>
      </c>
    </row>
    <row r="27" spans="1:24" ht="28.5" hidden="1">
      <c r="A27" s="8" t="s">
        <v>126</v>
      </c>
      <c r="B27" s="9">
        <v>46058</v>
      </c>
      <c r="C27" s="10">
        <f t="shared" si="0"/>
        <v>46054</v>
      </c>
      <c r="D27" s="8">
        <v>3</v>
      </c>
      <c r="E27" s="11" t="str">
        <f>IFERROR(VLOOKUP(D27,'Property Master'!$A$2:$J$7,2,FALSE),"")</f>
        <v>Sunset Retail Plaza</v>
      </c>
      <c r="F27" s="11" t="str">
        <f>IFERROR(VLOOKUP(D27,'Property Master'!$A$2:$J$7,3,FALSE),"")</f>
        <v>Retail</v>
      </c>
      <c r="G27" s="8" t="s">
        <v>114</v>
      </c>
      <c r="H27" s="11" t="str">
        <f>IFERROR(VLOOKUP(G27,'Vendor Master'!$A$2:$H$11,2,FALSE),"")</f>
        <v>Pest Control</v>
      </c>
      <c r="I27" s="11" t="str">
        <f>IFERROR(VLOOKUP(G27,'Vendor Master'!$A$2:$H$11,3,FALSE),"")</f>
        <v>Yes</v>
      </c>
      <c r="J27" s="12">
        <f>IFERROR(VLOOKUP(G27,'Vendor Master'!$A$2:$H$11,4,FALSE),0)</f>
        <v>4.5999999999999996</v>
      </c>
      <c r="K27" s="8" t="s">
        <v>71</v>
      </c>
      <c r="L27" s="8" t="s">
        <v>72</v>
      </c>
      <c r="M27" s="13">
        <v>1800</v>
      </c>
      <c r="N27" s="13">
        <v>1640</v>
      </c>
      <c r="O27" s="14">
        <f t="shared" si="1"/>
        <v>160</v>
      </c>
      <c r="P27" s="15">
        <f t="shared" si="2"/>
        <v>8.8888888888888892E-2</v>
      </c>
      <c r="Q27" s="8" t="s">
        <v>73</v>
      </c>
      <c r="R27" s="8" t="s">
        <v>87</v>
      </c>
      <c r="S27" s="8" t="s">
        <v>75</v>
      </c>
      <c r="T27" s="16">
        <f>IFERROR(VLOOKUP(S27,Assumptions!$A$7:$B$12,2,FALSE),0)</f>
        <v>0</v>
      </c>
      <c r="U27" s="14">
        <f t="shared" si="3"/>
        <v>0</v>
      </c>
      <c r="V27" s="14">
        <f t="shared" si="4"/>
        <v>1640</v>
      </c>
      <c r="W27" s="17">
        <f>U27*12/Assumptions!$B$4</f>
        <v>0</v>
      </c>
      <c r="X27" s="8" t="s">
        <v>76</v>
      </c>
    </row>
    <row r="28" spans="1:24" ht="28.5" hidden="1">
      <c r="A28" s="8" t="s">
        <v>127</v>
      </c>
      <c r="B28" s="9">
        <v>46099</v>
      </c>
      <c r="C28" s="10">
        <f t="shared" si="0"/>
        <v>46082</v>
      </c>
      <c r="D28" s="8">
        <v>3</v>
      </c>
      <c r="E28" s="11" t="str">
        <f>IFERROR(VLOOKUP(D28,'Property Master'!$A$2:$J$7,2,FALSE),"")</f>
        <v>Sunset Retail Plaza</v>
      </c>
      <c r="F28" s="11" t="str">
        <f>IFERROR(VLOOKUP(D28,'Property Master'!$A$2:$J$7,3,FALSE),"")</f>
        <v>Retail</v>
      </c>
      <c r="G28" s="8" t="s">
        <v>90</v>
      </c>
      <c r="H28" s="11" t="str">
        <f>IFERROR(VLOOKUP(G28,'Vendor Master'!$A$2:$H$11,2,FALSE),"")</f>
        <v>Fire &amp; Life Safety</v>
      </c>
      <c r="I28" s="11" t="str">
        <f>IFERROR(VLOOKUP(G28,'Vendor Master'!$A$2:$H$11,3,FALSE),"")</f>
        <v>Yes</v>
      </c>
      <c r="J28" s="12">
        <f>IFERROR(VLOOKUP(G28,'Vendor Master'!$A$2:$H$11,4,FALSE),0)</f>
        <v>4.9000000000000004</v>
      </c>
      <c r="K28" s="8" t="s">
        <v>82</v>
      </c>
      <c r="L28" s="8" t="s">
        <v>83</v>
      </c>
      <c r="M28" s="13">
        <v>5300</v>
      </c>
      <c r="N28" s="13">
        <v>5200</v>
      </c>
      <c r="O28" s="14">
        <f t="shared" si="1"/>
        <v>100</v>
      </c>
      <c r="P28" s="15">
        <f t="shared" si="2"/>
        <v>1.8867924528301886E-2</v>
      </c>
      <c r="Q28" s="8" t="s">
        <v>73</v>
      </c>
      <c r="R28" s="8" t="s">
        <v>74</v>
      </c>
      <c r="S28" s="8" t="s">
        <v>75</v>
      </c>
      <c r="T28" s="16">
        <f>IFERROR(VLOOKUP(S28,Assumptions!$A$7:$B$12,2,FALSE),0)</f>
        <v>0</v>
      </c>
      <c r="U28" s="14">
        <f t="shared" si="3"/>
        <v>0</v>
      </c>
      <c r="V28" s="14">
        <f t="shared" si="4"/>
        <v>5200</v>
      </c>
      <c r="W28" s="17">
        <f>U28*12/Assumptions!$B$4</f>
        <v>0</v>
      </c>
      <c r="X28" s="8" t="s">
        <v>76</v>
      </c>
    </row>
    <row r="29" spans="1:24" ht="28.5" hidden="1">
      <c r="A29" s="8" t="s">
        <v>128</v>
      </c>
      <c r="B29" s="9">
        <v>46038</v>
      </c>
      <c r="C29" s="10">
        <f t="shared" si="0"/>
        <v>46023</v>
      </c>
      <c r="D29" s="8">
        <v>4</v>
      </c>
      <c r="E29" s="11" t="str">
        <f>IFERROR(VLOOKUP(D29,'Property Master'!$A$2:$J$7,2,FALSE),"")</f>
        <v>Harbor Point Apartments</v>
      </c>
      <c r="F29" s="11" t="str">
        <f>IFERROR(VLOOKUP(D29,'Property Master'!$A$2:$J$7,3,FALSE),"")</f>
        <v>Multifamily</v>
      </c>
      <c r="G29" s="8" t="s">
        <v>94</v>
      </c>
      <c r="H29" s="11" t="str">
        <f>IFERROR(VLOOKUP(G29,'Vendor Master'!$A$2:$H$11,2,FALSE),"")</f>
        <v>Landscaping</v>
      </c>
      <c r="I29" s="11" t="str">
        <f>IFERROR(VLOOKUP(G29,'Vendor Master'!$A$2:$H$11,3,FALSE),"")</f>
        <v>Yes</v>
      </c>
      <c r="J29" s="12">
        <f>IFERROR(VLOOKUP(G29,'Vendor Master'!$A$2:$H$11,4,FALSE),0)</f>
        <v>4.5</v>
      </c>
      <c r="K29" s="8" t="s">
        <v>82</v>
      </c>
      <c r="L29" s="8" t="s">
        <v>72</v>
      </c>
      <c r="M29" s="13">
        <v>6900</v>
      </c>
      <c r="N29" s="13">
        <v>8800</v>
      </c>
      <c r="O29" s="14">
        <f t="shared" si="1"/>
        <v>-1900</v>
      </c>
      <c r="P29" s="15">
        <f t="shared" si="2"/>
        <v>-0.27536231884057971</v>
      </c>
      <c r="Q29" s="8" t="s">
        <v>73</v>
      </c>
      <c r="R29" s="8" t="s">
        <v>74</v>
      </c>
      <c r="S29" s="8" t="s">
        <v>102</v>
      </c>
      <c r="T29" s="16">
        <f>IFERROR(VLOOKUP(S29,Assumptions!$A$7:$B$12,2,FALSE),0)</f>
        <v>0.06</v>
      </c>
      <c r="U29" s="14">
        <f t="shared" si="3"/>
        <v>528</v>
      </c>
      <c r="V29" s="14">
        <f t="shared" si="4"/>
        <v>8272</v>
      </c>
      <c r="W29" s="17">
        <f>U29*12/Assumptions!$B$4</f>
        <v>1056</v>
      </c>
      <c r="X29" s="8" t="s">
        <v>103</v>
      </c>
    </row>
    <row r="30" spans="1:24" ht="28.5" hidden="1">
      <c r="A30" s="8" t="s">
        <v>129</v>
      </c>
      <c r="B30" s="9">
        <v>46068</v>
      </c>
      <c r="C30" s="10">
        <f t="shared" si="0"/>
        <v>46054</v>
      </c>
      <c r="D30" s="8">
        <v>4</v>
      </c>
      <c r="E30" s="11" t="str">
        <f>IFERROR(VLOOKUP(D30,'Property Master'!$A$2:$J$7,2,FALSE),"")</f>
        <v>Harbor Point Apartments</v>
      </c>
      <c r="F30" s="11" t="str">
        <f>IFERROR(VLOOKUP(D30,'Property Master'!$A$2:$J$7,3,FALSE),"")</f>
        <v>Multifamily</v>
      </c>
      <c r="G30" s="8" t="s">
        <v>114</v>
      </c>
      <c r="H30" s="11" t="str">
        <f>IFERROR(VLOOKUP(G30,'Vendor Master'!$A$2:$H$11,2,FALSE),"")</f>
        <v>Pest Control</v>
      </c>
      <c r="I30" s="11" t="str">
        <f>IFERROR(VLOOKUP(G30,'Vendor Master'!$A$2:$H$11,3,FALSE),"")</f>
        <v>Yes</v>
      </c>
      <c r="J30" s="12">
        <f>IFERROR(VLOOKUP(G30,'Vendor Master'!$A$2:$H$11,4,FALSE),0)</f>
        <v>4.5999999999999996</v>
      </c>
      <c r="K30" s="8" t="s">
        <v>71</v>
      </c>
      <c r="L30" s="8" t="s">
        <v>72</v>
      </c>
      <c r="M30" s="13">
        <v>1900</v>
      </c>
      <c r="N30" s="13">
        <v>1760</v>
      </c>
      <c r="O30" s="14">
        <f t="shared" si="1"/>
        <v>140</v>
      </c>
      <c r="P30" s="15">
        <f t="shared" si="2"/>
        <v>7.3684210526315783E-2</v>
      </c>
      <c r="Q30" s="8" t="s">
        <v>73</v>
      </c>
      <c r="R30" s="8" t="s">
        <v>74</v>
      </c>
      <c r="S30" s="8" t="s">
        <v>130</v>
      </c>
      <c r="T30" s="16">
        <f>IFERROR(VLOOKUP(S30,Assumptions!$A$7:$B$12,2,FALSE),0)</f>
        <v>0.05</v>
      </c>
      <c r="U30" s="14">
        <f t="shared" si="3"/>
        <v>88</v>
      </c>
      <c r="V30" s="14">
        <f t="shared" si="4"/>
        <v>1672</v>
      </c>
      <c r="W30" s="17">
        <f>U30*12/Assumptions!$B$4</f>
        <v>176</v>
      </c>
      <c r="X30" s="8" t="s">
        <v>131</v>
      </c>
    </row>
    <row r="31" spans="1:24" ht="28.5" hidden="1">
      <c r="A31" s="8" t="s">
        <v>132</v>
      </c>
      <c r="B31" s="9">
        <v>46092</v>
      </c>
      <c r="C31" s="10">
        <f t="shared" si="0"/>
        <v>46082</v>
      </c>
      <c r="D31" s="8">
        <v>4</v>
      </c>
      <c r="E31" s="11" t="str">
        <f>IFERROR(VLOOKUP(D31,'Property Master'!$A$2:$J$7,2,FALSE),"")</f>
        <v>Harbor Point Apartments</v>
      </c>
      <c r="F31" s="11" t="str">
        <f>IFERROR(VLOOKUP(D31,'Property Master'!$A$2:$J$7,3,FALSE),"")</f>
        <v>Multifamily</v>
      </c>
      <c r="G31" s="8" t="s">
        <v>94</v>
      </c>
      <c r="H31" s="11" t="str">
        <f>IFERROR(VLOOKUP(G31,'Vendor Master'!$A$2:$H$11,2,FALSE),"")</f>
        <v>Landscaping</v>
      </c>
      <c r="I31" s="11" t="str">
        <f>IFERROR(VLOOKUP(G31,'Vendor Master'!$A$2:$H$11,3,FALSE),"")</f>
        <v>Yes</v>
      </c>
      <c r="J31" s="12">
        <f>IFERROR(VLOOKUP(G31,'Vendor Master'!$A$2:$H$11,4,FALSE),0)</f>
        <v>4.5</v>
      </c>
      <c r="K31" s="8" t="s">
        <v>71</v>
      </c>
      <c r="L31" s="8" t="s">
        <v>72</v>
      </c>
      <c r="M31" s="13">
        <v>5400</v>
      </c>
      <c r="N31" s="13">
        <v>5870</v>
      </c>
      <c r="O31" s="14">
        <f t="shared" si="1"/>
        <v>-470</v>
      </c>
      <c r="P31" s="15">
        <f t="shared" si="2"/>
        <v>-8.7037037037037038E-2</v>
      </c>
      <c r="Q31" s="8" t="s">
        <v>73</v>
      </c>
      <c r="R31" s="8" t="s">
        <v>74</v>
      </c>
      <c r="S31" s="8" t="s">
        <v>130</v>
      </c>
      <c r="T31" s="16">
        <f>IFERROR(VLOOKUP(S31,Assumptions!$A$7:$B$12,2,FALSE),0)</f>
        <v>0.05</v>
      </c>
      <c r="U31" s="14">
        <f t="shared" si="3"/>
        <v>293.5</v>
      </c>
      <c r="V31" s="14">
        <f t="shared" si="4"/>
        <v>5576.5</v>
      </c>
      <c r="W31" s="17">
        <f>U31*12/Assumptions!$B$4</f>
        <v>587</v>
      </c>
      <c r="X31" s="8" t="s">
        <v>131</v>
      </c>
    </row>
    <row r="32" spans="1:24" hidden="1">
      <c r="A32" s="8" t="s">
        <v>133</v>
      </c>
      <c r="B32" s="9">
        <v>46132</v>
      </c>
      <c r="C32" s="10">
        <f t="shared" si="0"/>
        <v>46113</v>
      </c>
      <c r="D32" s="8">
        <v>4</v>
      </c>
      <c r="E32" s="11" t="str">
        <f>IFERROR(VLOOKUP(D32,'Property Master'!$A$2:$J$7,2,FALSE),"")</f>
        <v>Harbor Point Apartments</v>
      </c>
      <c r="F32" s="11" t="str">
        <f>IFERROR(VLOOKUP(D32,'Property Master'!$A$2:$J$7,3,FALSE),"")</f>
        <v>Multifamily</v>
      </c>
      <c r="G32" s="8" t="s">
        <v>86</v>
      </c>
      <c r="H32" s="11" t="str">
        <f>IFERROR(VLOOKUP(G32,'Vendor Master'!$A$2:$H$11,2,FALSE),"")</f>
        <v>General Contractor</v>
      </c>
      <c r="I32" s="11" t="str">
        <f>IFERROR(VLOOKUP(G32,'Vendor Master'!$A$2:$H$11,3,FALSE),"")</f>
        <v>Yes</v>
      </c>
      <c r="J32" s="12">
        <f>IFERROR(VLOOKUP(G32,'Vendor Master'!$A$2:$H$11,4,FALSE),0)</f>
        <v>4.3</v>
      </c>
      <c r="K32" s="8" t="s">
        <v>71</v>
      </c>
      <c r="L32" s="8" t="s">
        <v>72</v>
      </c>
      <c r="M32" s="13">
        <v>26500</v>
      </c>
      <c r="N32" s="13">
        <v>28720</v>
      </c>
      <c r="O32" s="14">
        <f t="shared" si="1"/>
        <v>-2220</v>
      </c>
      <c r="P32" s="15">
        <f t="shared" si="2"/>
        <v>-8.3773584905660378E-2</v>
      </c>
      <c r="Q32" s="8" t="s">
        <v>73</v>
      </c>
      <c r="R32" s="8" t="s">
        <v>74</v>
      </c>
      <c r="S32" s="8" t="s">
        <v>107</v>
      </c>
      <c r="T32" s="16">
        <f>IFERROR(VLOOKUP(S32,Assumptions!$A$7:$B$12,2,FALSE),0)</f>
        <v>0.1</v>
      </c>
      <c r="U32" s="14">
        <f t="shared" si="3"/>
        <v>2872</v>
      </c>
      <c r="V32" s="14">
        <f t="shared" si="4"/>
        <v>25848</v>
      </c>
      <c r="W32" s="17">
        <f>U32*12/Assumptions!$B$4</f>
        <v>5744</v>
      </c>
      <c r="X32" s="8" t="s">
        <v>108</v>
      </c>
    </row>
    <row r="33" spans="1:24" ht="28.5" hidden="1">
      <c r="A33" s="8" t="s">
        <v>134</v>
      </c>
      <c r="B33" s="9">
        <v>46160</v>
      </c>
      <c r="C33" s="10">
        <f t="shared" si="0"/>
        <v>46143</v>
      </c>
      <c r="D33" s="8">
        <v>4</v>
      </c>
      <c r="E33" s="11" t="str">
        <f>IFERROR(VLOOKUP(D33,'Property Master'!$A$2:$J$7,2,FALSE),"")</f>
        <v>Harbor Point Apartments</v>
      </c>
      <c r="F33" s="11" t="str">
        <f>IFERROR(VLOOKUP(D33,'Property Master'!$A$2:$J$7,3,FALSE),"")</f>
        <v>Multifamily</v>
      </c>
      <c r="G33" s="8" t="s">
        <v>94</v>
      </c>
      <c r="H33" s="11" t="str">
        <f>IFERROR(VLOOKUP(G33,'Vendor Master'!$A$2:$H$11,2,FALSE),"")</f>
        <v>Landscaping</v>
      </c>
      <c r="I33" s="11" t="str">
        <f>IFERROR(VLOOKUP(G33,'Vendor Master'!$A$2:$H$11,3,FALSE),"")</f>
        <v>Yes</v>
      </c>
      <c r="J33" s="12">
        <f>IFERROR(VLOOKUP(G33,'Vendor Master'!$A$2:$H$11,4,FALSE),0)</f>
        <v>4.5</v>
      </c>
      <c r="K33" s="8" t="s">
        <v>71</v>
      </c>
      <c r="L33" s="8" t="s">
        <v>72</v>
      </c>
      <c r="M33" s="13">
        <v>8400</v>
      </c>
      <c r="N33" s="13">
        <v>7720</v>
      </c>
      <c r="O33" s="14">
        <f t="shared" si="1"/>
        <v>680</v>
      </c>
      <c r="P33" s="15">
        <f t="shared" si="2"/>
        <v>8.0952380952380956E-2</v>
      </c>
      <c r="Q33" s="8" t="s">
        <v>73</v>
      </c>
      <c r="R33" s="8" t="s">
        <v>74</v>
      </c>
      <c r="S33" s="8" t="s">
        <v>130</v>
      </c>
      <c r="T33" s="16">
        <f>IFERROR(VLOOKUP(S33,Assumptions!$A$7:$B$12,2,FALSE),0)</f>
        <v>0.05</v>
      </c>
      <c r="U33" s="14">
        <f t="shared" si="3"/>
        <v>386</v>
      </c>
      <c r="V33" s="14">
        <f t="shared" si="4"/>
        <v>7334</v>
      </c>
      <c r="W33" s="17">
        <f>U33*12/Assumptions!$B$4</f>
        <v>772</v>
      </c>
      <c r="X33" s="8" t="s">
        <v>131</v>
      </c>
    </row>
    <row r="34" spans="1:24" ht="28.5" hidden="1">
      <c r="A34" s="8" t="s">
        <v>135</v>
      </c>
      <c r="B34" s="9">
        <v>46190</v>
      </c>
      <c r="C34" s="10">
        <f t="shared" ref="C34:C65" si="5">DATE(YEAR(B34),MONTH(B34),1)</f>
        <v>46174</v>
      </c>
      <c r="D34" s="8">
        <v>4</v>
      </c>
      <c r="E34" s="11" t="str">
        <f>IFERROR(VLOOKUP(D34,'Property Master'!$A$2:$J$7,2,FALSE),"")</f>
        <v>Harbor Point Apartments</v>
      </c>
      <c r="F34" s="11" t="str">
        <f>IFERROR(VLOOKUP(D34,'Property Master'!$A$2:$J$7,3,FALSE),"")</f>
        <v>Multifamily</v>
      </c>
      <c r="G34" s="8" t="s">
        <v>78</v>
      </c>
      <c r="H34" s="11" t="str">
        <f>IFERROR(VLOOKUP(G34,'Vendor Master'!$A$2:$H$11,2,FALSE),"")</f>
        <v>Cleaning</v>
      </c>
      <c r="I34" s="11" t="str">
        <f>IFERROR(VLOOKUP(G34,'Vendor Master'!$A$2:$H$11,3,FALSE),"")</f>
        <v>No</v>
      </c>
      <c r="J34" s="12">
        <f>IFERROR(VLOOKUP(G34,'Vendor Master'!$A$2:$H$11,4,FALSE),0)</f>
        <v>4.0999999999999996</v>
      </c>
      <c r="K34" s="8" t="s">
        <v>82</v>
      </c>
      <c r="L34" s="8" t="s">
        <v>83</v>
      </c>
      <c r="M34" s="13">
        <v>3200</v>
      </c>
      <c r="N34" s="13">
        <v>3350</v>
      </c>
      <c r="O34" s="14">
        <f t="shared" ref="O34:O65" si="6">M34-N34</f>
        <v>-150</v>
      </c>
      <c r="P34" s="15">
        <f t="shared" ref="P34:P65" si="7">IFERROR(O34/M34,0)</f>
        <v>-4.6875E-2</v>
      </c>
      <c r="Q34" s="8" t="s">
        <v>73</v>
      </c>
      <c r="R34" s="8" t="s">
        <v>87</v>
      </c>
      <c r="S34" s="8" t="s">
        <v>79</v>
      </c>
      <c r="T34" s="16">
        <f>IFERROR(VLOOKUP(S34,Assumptions!$A$7:$B$12,2,FALSE),0)</f>
        <v>0.08</v>
      </c>
      <c r="U34" s="14">
        <f t="shared" ref="U34:U65" si="8">N34*T34</f>
        <v>268</v>
      </c>
      <c r="V34" s="14">
        <f t="shared" ref="V34:V65" si="9">N34-U34</f>
        <v>3082</v>
      </c>
      <c r="W34" s="17">
        <f>U34*12/Assumptions!$B$4</f>
        <v>536</v>
      </c>
      <c r="X34" s="8" t="s">
        <v>80</v>
      </c>
    </row>
    <row r="35" spans="1:24" ht="28.5" hidden="1">
      <c r="A35" s="8" t="s">
        <v>136</v>
      </c>
      <c r="B35" s="9">
        <v>46043</v>
      </c>
      <c r="C35" s="10">
        <f t="shared" si="5"/>
        <v>46023</v>
      </c>
      <c r="D35" s="8">
        <v>4</v>
      </c>
      <c r="E35" s="11" t="str">
        <f>IFERROR(VLOOKUP(D35,'Property Master'!$A$2:$J$7,2,FALSE),"")</f>
        <v>Harbor Point Apartments</v>
      </c>
      <c r="F35" s="11" t="str">
        <f>IFERROR(VLOOKUP(D35,'Property Master'!$A$2:$J$7,3,FALSE),"")</f>
        <v>Multifamily</v>
      </c>
      <c r="G35" s="8" t="s">
        <v>117</v>
      </c>
      <c r="H35" s="11" t="str">
        <f>IFERROR(VLOOKUP(G35,'Vendor Master'!$A$2:$H$11,2,FALSE),"")</f>
        <v>Elevator</v>
      </c>
      <c r="I35" s="11" t="str">
        <f>IFERROR(VLOOKUP(G35,'Vendor Master'!$A$2:$H$11,3,FALSE),"")</f>
        <v>Yes</v>
      </c>
      <c r="J35" s="12">
        <f>IFERROR(VLOOKUP(G35,'Vendor Master'!$A$2:$H$11,4,FALSE),0)</f>
        <v>4.4000000000000004</v>
      </c>
      <c r="K35" s="8" t="s">
        <v>71</v>
      </c>
      <c r="L35" s="8" t="s">
        <v>72</v>
      </c>
      <c r="M35" s="13">
        <v>5700</v>
      </c>
      <c r="N35" s="13">
        <v>5820</v>
      </c>
      <c r="O35" s="14">
        <f t="shared" si="6"/>
        <v>-120</v>
      </c>
      <c r="P35" s="15">
        <f t="shared" si="7"/>
        <v>-2.1052631578947368E-2</v>
      </c>
      <c r="Q35" s="8" t="s">
        <v>73</v>
      </c>
      <c r="R35" s="8" t="s">
        <v>74</v>
      </c>
      <c r="S35" s="8" t="s">
        <v>75</v>
      </c>
      <c r="T35" s="16">
        <f>IFERROR(VLOOKUP(S35,Assumptions!$A$7:$B$12,2,FALSE),0)</f>
        <v>0</v>
      </c>
      <c r="U35" s="14">
        <f t="shared" si="8"/>
        <v>0</v>
      </c>
      <c r="V35" s="14">
        <f t="shared" si="9"/>
        <v>5820</v>
      </c>
      <c r="W35" s="17">
        <f>U35*12/Assumptions!$B$4</f>
        <v>0</v>
      </c>
      <c r="X35" s="8" t="s">
        <v>76</v>
      </c>
    </row>
    <row r="36" spans="1:24" ht="28.5" hidden="1">
      <c r="A36" s="8" t="s">
        <v>137</v>
      </c>
      <c r="B36" s="9">
        <v>46072</v>
      </c>
      <c r="C36" s="10">
        <f t="shared" si="5"/>
        <v>46054</v>
      </c>
      <c r="D36" s="8">
        <v>4</v>
      </c>
      <c r="E36" s="11" t="str">
        <f>IFERROR(VLOOKUP(D36,'Property Master'!$A$2:$J$7,2,FALSE),"")</f>
        <v>Harbor Point Apartments</v>
      </c>
      <c r="F36" s="11" t="str">
        <f>IFERROR(VLOOKUP(D36,'Property Master'!$A$2:$J$7,3,FALSE),"")</f>
        <v>Multifamily</v>
      </c>
      <c r="G36" s="8" t="s">
        <v>110</v>
      </c>
      <c r="H36" s="11" t="str">
        <f>IFERROR(VLOOKUP(G36,'Vendor Master'!$A$2:$H$11,2,FALSE),"")</f>
        <v>Electrical</v>
      </c>
      <c r="I36" s="11" t="str">
        <f>IFERROR(VLOOKUP(G36,'Vendor Master'!$A$2:$H$11,3,FALSE),"")</f>
        <v>Yes</v>
      </c>
      <c r="J36" s="12">
        <f>IFERROR(VLOOKUP(G36,'Vendor Master'!$A$2:$H$11,4,FALSE),0)</f>
        <v>4.7</v>
      </c>
      <c r="K36" s="8" t="s">
        <v>71</v>
      </c>
      <c r="L36" s="8" t="s">
        <v>72</v>
      </c>
      <c r="M36" s="13">
        <v>14200</v>
      </c>
      <c r="N36" s="13">
        <v>12730</v>
      </c>
      <c r="O36" s="14">
        <f t="shared" si="6"/>
        <v>1470</v>
      </c>
      <c r="P36" s="15">
        <f t="shared" si="7"/>
        <v>0.10352112676056338</v>
      </c>
      <c r="Q36" s="8" t="s">
        <v>73</v>
      </c>
      <c r="R36" s="8" t="s">
        <v>74</v>
      </c>
      <c r="S36" s="8" t="s">
        <v>75</v>
      </c>
      <c r="T36" s="16">
        <f>IFERROR(VLOOKUP(S36,Assumptions!$A$7:$B$12,2,FALSE),0)</f>
        <v>0</v>
      </c>
      <c r="U36" s="14">
        <f t="shared" si="8"/>
        <v>0</v>
      </c>
      <c r="V36" s="14">
        <f t="shared" si="9"/>
        <v>12730</v>
      </c>
      <c r="W36" s="17">
        <f>U36*12/Assumptions!$B$4</f>
        <v>0</v>
      </c>
      <c r="X36" s="8" t="s">
        <v>76</v>
      </c>
    </row>
    <row r="37" spans="1:24" ht="28.5" hidden="1">
      <c r="A37" s="8" t="s">
        <v>138</v>
      </c>
      <c r="B37" s="9">
        <v>46091</v>
      </c>
      <c r="C37" s="10">
        <f t="shared" si="5"/>
        <v>46082</v>
      </c>
      <c r="D37" s="8">
        <v>4</v>
      </c>
      <c r="E37" s="11" t="str">
        <f>IFERROR(VLOOKUP(D37,'Property Master'!$A$2:$J$7,2,FALSE),"")</f>
        <v>Harbor Point Apartments</v>
      </c>
      <c r="F37" s="11" t="str">
        <f>IFERROR(VLOOKUP(D37,'Property Master'!$A$2:$J$7,3,FALSE),"")</f>
        <v>Multifamily</v>
      </c>
      <c r="G37" s="8" t="s">
        <v>86</v>
      </c>
      <c r="H37" s="11" t="str">
        <f>IFERROR(VLOOKUP(G37,'Vendor Master'!$A$2:$H$11,2,FALSE),"")</f>
        <v>General Contractor</v>
      </c>
      <c r="I37" s="11" t="str">
        <f>IFERROR(VLOOKUP(G37,'Vendor Master'!$A$2:$H$11,3,FALSE),"")</f>
        <v>Yes</v>
      </c>
      <c r="J37" s="12">
        <f>IFERROR(VLOOKUP(G37,'Vendor Master'!$A$2:$H$11,4,FALSE),0)</f>
        <v>4.3</v>
      </c>
      <c r="K37" s="8" t="s">
        <v>71</v>
      </c>
      <c r="L37" s="8" t="s">
        <v>72</v>
      </c>
      <c r="M37" s="13">
        <v>19600</v>
      </c>
      <c r="N37" s="13">
        <v>17430</v>
      </c>
      <c r="O37" s="14">
        <f t="shared" si="6"/>
        <v>2170</v>
      </c>
      <c r="P37" s="15">
        <f t="shared" si="7"/>
        <v>0.11071428571428571</v>
      </c>
      <c r="Q37" s="8" t="s">
        <v>73</v>
      </c>
      <c r="R37" s="8" t="s">
        <v>74</v>
      </c>
      <c r="S37" s="8" t="s">
        <v>75</v>
      </c>
      <c r="T37" s="16">
        <f>IFERROR(VLOOKUP(S37,Assumptions!$A$7:$B$12,2,FALSE),0)</f>
        <v>0</v>
      </c>
      <c r="U37" s="14">
        <f t="shared" si="8"/>
        <v>0</v>
      </c>
      <c r="V37" s="14">
        <f t="shared" si="9"/>
        <v>17430</v>
      </c>
      <c r="W37" s="17">
        <f>U37*12/Assumptions!$B$4</f>
        <v>0</v>
      </c>
      <c r="X37" s="8" t="s">
        <v>76</v>
      </c>
    </row>
    <row r="38" spans="1:24" ht="28.5" hidden="1">
      <c r="A38" s="8" t="s">
        <v>139</v>
      </c>
      <c r="B38" s="9">
        <v>46046</v>
      </c>
      <c r="C38" s="10">
        <f t="shared" si="5"/>
        <v>46023</v>
      </c>
      <c r="D38" s="8">
        <v>5</v>
      </c>
      <c r="E38" s="11" t="str">
        <f>IFERROR(VLOOKUP(D38,'Property Master'!$A$2:$J$7,2,FALSE),"")</f>
        <v>Magnolia Mixed Use</v>
      </c>
      <c r="F38" s="11" t="str">
        <f>IFERROR(VLOOKUP(D38,'Property Master'!$A$2:$J$7,3,FALSE),"")</f>
        <v>Mixed Use</v>
      </c>
      <c r="G38" s="8" t="s">
        <v>78</v>
      </c>
      <c r="H38" s="11" t="str">
        <f>IFERROR(VLOOKUP(G38,'Vendor Master'!$A$2:$H$11,2,FALSE),"")</f>
        <v>Cleaning</v>
      </c>
      <c r="I38" s="11" t="str">
        <f>IFERROR(VLOOKUP(G38,'Vendor Master'!$A$2:$H$11,3,FALSE),"")</f>
        <v>No</v>
      </c>
      <c r="J38" s="12">
        <f>IFERROR(VLOOKUP(G38,'Vendor Master'!$A$2:$H$11,4,FALSE),0)</f>
        <v>4.0999999999999996</v>
      </c>
      <c r="K38" s="8" t="s">
        <v>82</v>
      </c>
      <c r="L38" s="8" t="s">
        <v>83</v>
      </c>
      <c r="M38" s="13">
        <v>8100</v>
      </c>
      <c r="N38" s="13">
        <v>9020</v>
      </c>
      <c r="O38" s="14">
        <f t="shared" si="6"/>
        <v>-920</v>
      </c>
      <c r="P38" s="15">
        <f t="shared" si="7"/>
        <v>-0.11358024691358025</v>
      </c>
      <c r="Q38" s="8" t="s">
        <v>73</v>
      </c>
      <c r="R38" s="8" t="s">
        <v>74</v>
      </c>
      <c r="S38" s="8" t="s">
        <v>79</v>
      </c>
      <c r="T38" s="16">
        <f>IFERROR(VLOOKUP(S38,Assumptions!$A$7:$B$12,2,FALSE),0)</f>
        <v>0.08</v>
      </c>
      <c r="U38" s="14">
        <f t="shared" si="8"/>
        <v>721.6</v>
      </c>
      <c r="V38" s="14">
        <f t="shared" si="9"/>
        <v>8298.4</v>
      </c>
      <c r="W38" s="17">
        <f>U38*12/Assumptions!$B$4</f>
        <v>1443.2</v>
      </c>
      <c r="X38" s="8" t="s">
        <v>80</v>
      </c>
    </row>
    <row r="39" spans="1:24" ht="28.5" hidden="1">
      <c r="A39" s="8" t="s">
        <v>140</v>
      </c>
      <c r="B39" s="9">
        <v>46068</v>
      </c>
      <c r="C39" s="10">
        <f t="shared" si="5"/>
        <v>46054</v>
      </c>
      <c r="D39" s="8">
        <v>5</v>
      </c>
      <c r="E39" s="11" t="str">
        <f>IFERROR(VLOOKUP(D39,'Property Master'!$A$2:$J$7,2,FALSE),"")</f>
        <v>Magnolia Mixed Use</v>
      </c>
      <c r="F39" s="11" t="str">
        <f>IFERROR(VLOOKUP(D39,'Property Master'!$A$2:$J$7,3,FALSE),"")</f>
        <v>Mixed Use</v>
      </c>
      <c r="G39" s="8" t="s">
        <v>70</v>
      </c>
      <c r="H39" s="11" t="str">
        <f>IFERROR(VLOOKUP(G39,'Vendor Master'!$A$2:$H$11,2,FALSE),"")</f>
        <v>HVAC</v>
      </c>
      <c r="I39" s="11" t="str">
        <f>IFERROR(VLOOKUP(G39,'Vendor Master'!$A$2:$H$11,3,FALSE),"")</f>
        <v>Yes</v>
      </c>
      <c r="J39" s="12">
        <f>IFERROR(VLOOKUP(G39,'Vendor Master'!$A$2:$H$11,4,FALSE),0)</f>
        <v>4.8</v>
      </c>
      <c r="K39" s="8" t="s">
        <v>82</v>
      </c>
      <c r="L39" s="8" t="s">
        <v>83</v>
      </c>
      <c r="M39" s="13">
        <v>13900</v>
      </c>
      <c r="N39" s="13">
        <v>19460</v>
      </c>
      <c r="O39" s="14">
        <f t="shared" si="6"/>
        <v>-5560</v>
      </c>
      <c r="P39" s="15">
        <f t="shared" si="7"/>
        <v>-0.4</v>
      </c>
      <c r="Q39" s="8" t="s">
        <v>73</v>
      </c>
      <c r="R39" s="8" t="s">
        <v>74</v>
      </c>
      <c r="S39" s="8" t="s">
        <v>102</v>
      </c>
      <c r="T39" s="16">
        <f>IFERROR(VLOOKUP(S39,Assumptions!$A$7:$B$12,2,FALSE),0)</f>
        <v>0.06</v>
      </c>
      <c r="U39" s="14">
        <f t="shared" si="8"/>
        <v>1167.5999999999999</v>
      </c>
      <c r="V39" s="14">
        <f t="shared" si="9"/>
        <v>18292.400000000001</v>
      </c>
      <c r="W39" s="17">
        <f>U39*12/Assumptions!$B$4</f>
        <v>2335.1999999999998</v>
      </c>
      <c r="X39" s="8" t="s">
        <v>103</v>
      </c>
    </row>
    <row r="40" spans="1:24" ht="29.25" hidden="1">
      <c r="A40" s="8" t="s">
        <v>141</v>
      </c>
      <c r="B40" s="9">
        <v>46103</v>
      </c>
      <c r="C40" s="10">
        <f t="shared" si="5"/>
        <v>46082</v>
      </c>
      <c r="D40" s="8">
        <v>5</v>
      </c>
      <c r="E40" s="11" t="str">
        <f>IFERROR(VLOOKUP(D40,'Property Master'!$A$2:$J$7,2,FALSE),"")</f>
        <v>Magnolia Mixed Use</v>
      </c>
      <c r="F40" s="11" t="str">
        <f>IFERROR(VLOOKUP(D40,'Property Master'!$A$2:$J$7,3,FALSE),"")</f>
        <v>Mixed Use</v>
      </c>
      <c r="G40" s="8" t="s">
        <v>78</v>
      </c>
      <c r="H40" s="11" t="str">
        <f>IFERROR(VLOOKUP(G40,'Vendor Master'!$A$2:$H$11,2,FALSE),"")</f>
        <v>Cleaning</v>
      </c>
      <c r="I40" s="11" t="str">
        <f>IFERROR(VLOOKUP(G40,'Vendor Master'!$A$2:$H$11,3,FALSE),"")</f>
        <v>No</v>
      </c>
      <c r="J40" s="12">
        <f>IFERROR(VLOOKUP(G40,'Vendor Master'!$A$2:$H$11,4,FALSE),0)</f>
        <v>4.0999999999999996</v>
      </c>
      <c r="K40" s="8" t="s">
        <v>95</v>
      </c>
      <c r="L40" s="8" t="s">
        <v>96</v>
      </c>
      <c r="M40" s="13">
        <v>5600</v>
      </c>
      <c r="N40" s="13">
        <v>7600</v>
      </c>
      <c r="O40" s="14">
        <f t="shared" si="6"/>
        <v>-2000</v>
      </c>
      <c r="P40" s="15">
        <f t="shared" si="7"/>
        <v>-0.35714285714285715</v>
      </c>
      <c r="Q40" s="8" t="s">
        <v>97</v>
      </c>
      <c r="R40" s="8" t="s">
        <v>74</v>
      </c>
      <c r="S40" s="8" t="s">
        <v>98</v>
      </c>
      <c r="T40" s="16">
        <f>IFERROR(VLOOKUP(S40,Assumptions!$A$7:$B$12,2,FALSE),0)</f>
        <v>0.2</v>
      </c>
      <c r="U40" s="14">
        <f t="shared" si="8"/>
        <v>1520</v>
      </c>
      <c r="V40" s="14">
        <f t="shared" si="9"/>
        <v>6080</v>
      </c>
      <c r="W40" s="17">
        <f>U40*12/Assumptions!$B$4</f>
        <v>3040</v>
      </c>
      <c r="X40" s="8" t="s">
        <v>99</v>
      </c>
    </row>
    <row r="41" spans="1:24" hidden="1">
      <c r="A41" s="8" t="s">
        <v>142</v>
      </c>
      <c r="B41" s="9">
        <v>46122</v>
      </c>
      <c r="C41" s="10">
        <f t="shared" si="5"/>
        <v>46113</v>
      </c>
      <c r="D41" s="8">
        <v>5</v>
      </c>
      <c r="E41" s="11" t="str">
        <f>IFERROR(VLOOKUP(D41,'Property Master'!$A$2:$J$7,2,FALSE),"")</f>
        <v>Magnolia Mixed Use</v>
      </c>
      <c r="F41" s="11" t="str">
        <f>IFERROR(VLOOKUP(D41,'Property Master'!$A$2:$J$7,3,FALSE),"")</f>
        <v>Mixed Use</v>
      </c>
      <c r="G41" s="8" t="s">
        <v>110</v>
      </c>
      <c r="H41" s="11" t="str">
        <f>IFERROR(VLOOKUP(G41,'Vendor Master'!$A$2:$H$11,2,FALSE),"")</f>
        <v>Electrical</v>
      </c>
      <c r="I41" s="11" t="str">
        <f>IFERROR(VLOOKUP(G41,'Vendor Master'!$A$2:$H$11,3,FALSE),"")</f>
        <v>Yes</v>
      </c>
      <c r="J41" s="12">
        <f>IFERROR(VLOOKUP(G41,'Vendor Master'!$A$2:$H$11,4,FALSE),0)</f>
        <v>4.7</v>
      </c>
      <c r="K41" s="8" t="s">
        <v>71</v>
      </c>
      <c r="L41" s="8" t="s">
        <v>72</v>
      </c>
      <c r="M41" s="13">
        <v>14000</v>
      </c>
      <c r="N41" s="13">
        <v>15930</v>
      </c>
      <c r="O41" s="14">
        <f t="shared" si="6"/>
        <v>-1930</v>
      </c>
      <c r="P41" s="15">
        <f t="shared" si="7"/>
        <v>-0.13785714285714284</v>
      </c>
      <c r="Q41" s="8" t="s">
        <v>73</v>
      </c>
      <c r="R41" s="8" t="s">
        <v>87</v>
      </c>
      <c r="S41" s="8" t="s">
        <v>107</v>
      </c>
      <c r="T41" s="16">
        <f>IFERROR(VLOOKUP(S41,Assumptions!$A$7:$B$12,2,FALSE),0)</f>
        <v>0.1</v>
      </c>
      <c r="U41" s="14">
        <f t="shared" si="8"/>
        <v>1593</v>
      </c>
      <c r="V41" s="14">
        <f t="shared" si="9"/>
        <v>14337</v>
      </c>
      <c r="W41" s="17">
        <f>U41*12/Assumptions!$B$4</f>
        <v>3186</v>
      </c>
      <c r="X41" s="8" t="s">
        <v>108</v>
      </c>
    </row>
    <row r="42" spans="1:24" ht="28.5" hidden="1">
      <c r="A42" s="8" t="s">
        <v>143</v>
      </c>
      <c r="B42" s="9">
        <v>46165</v>
      </c>
      <c r="C42" s="10">
        <f t="shared" si="5"/>
        <v>46143</v>
      </c>
      <c r="D42" s="8">
        <v>5</v>
      </c>
      <c r="E42" s="11" t="str">
        <f>IFERROR(VLOOKUP(D42,'Property Master'!$A$2:$J$7,2,FALSE),"")</f>
        <v>Magnolia Mixed Use</v>
      </c>
      <c r="F42" s="11" t="str">
        <f>IFERROR(VLOOKUP(D42,'Property Master'!$A$2:$J$7,3,FALSE),"")</f>
        <v>Mixed Use</v>
      </c>
      <c r="G42" s="8" t="s">
        <v>78</v>
      </c>
      <c r="H42" s="11" t="str">
        <f>IFERROR(VLOOKUP(G42,'Vendor Master'!$A$2:$H$11,2,FALSE),"")</f>
        <v>Cleaning</v>
      </c>
      <c r="I42" s="11" t="str">
        <f>IFERROR(VLOOKUP(G42,'Vendor Master'!$A$2:$H$11,3,FALSE),"")</f>
        <v>No</v>
      </c>
      <c r="J42" s="12">
        <f>IFERROR(VLOOKUP(G42,'Vendor Master'!$A$2:$H$11,4,FALSE),0)</f>
        <v>4.0999999999999996</v>
      </c>
      <c r="K42" s="8" t="s">
        <v>71</v>
      </c>
      <c r="L42" s="8" t="s">
        <v>72</v>
      </c>
      <c r="M42" s="13">
        <v>8100</v>
      </c>
      <c r="N42" s="13">
        <v>8130</v>
      </c>
      <c r="O42" s="14">
        <f t="shared" si="6"/>
        <v>-30</v>
      </c>
      <c r="P42" s="15">
        <f t="shared" si="7"/>
        <v>-3.7037037037037038E-3</v>
      </c>
      <c r="Q42" s="8" t="s">
        <v>73</v>
      </c>
      <c r="R42" s="8" t="s">
        <v>74</v>
      </c>
      <c r="S42" s="8" t="s">
        <v>79</v>
      </c>
      <c r="T42" s="16">
        <f>IFERROR(VLOOKUP(S42,Assumptions!$A$7:$B$12,2,FALSE),0)</f>
        <v>0.08</v>
      </c>
      <c r="U42" s="14">
        <f t="shared" si="8"/>
        <v>650.4</v>
      </c>
      <c r="V42" s="14">
        <f t="shared" si="9"/>
        <v>7479.6</v>
      </c>
      <c r="W42" s="17">
        <f>U42*12/Assumptions!$B$4</f>
        <v>1300.8</v>
      </c>
      <c r="X42" s="8" t="s">
        <v>80</v>
      </c>
    </row>
    <row r="43" spans="1:24" ht="28.5" hidden="1">
      <c r="A43" s="8" t="s">
        <v>144</v>
      </c>
      <c r="B43" s="9">
        <v>46179</v>
      </c>
      <c r="C43" s="10">
        <f t="shared" si="5"/>
        <v>46174</v>
      </c>
      <c r="D43" s="8">
        <v>5</v>
      </c>
      <c r="E43" s="11" t="str">
        <f>IFERROR(VLOOKUP(D43,'Property Master'!$A$2:$J$7,2,FALSE),"")</f>
        <v>Magnolia Mixed Use</v>
      </c>
      <c r="F43" s="11" t="str">
        <f>IFERROR(VLOOKUP(D43,'Property Master'!$A$2:$J$7,3,FALSE),"")</f>
        <v>Mixed Use</v>
      </c>
      <c r="G43" s="8" t="s">
        <v>94</v>
      </c>
      <c r="H43" s="11" t="str">
        <f>IFERROR(VLOOKUP(G43,'Vendor Master'!$A$2:$H$11,2,FALSE),"")</f>
        <v>Landscaping</v>
      </c>
      <c r="I43" s="11" t="str">
        <f>IFERROR(VLOOKUP(G43,'Vendor Master'!$A$2:$H$11,3,FALSE),"")</f>
        <v>Yes</v>
      </c>
      <c r="J43" s="12">
        <f>IFERROR(VLOOKUP(G43,'Vendor Master'!$A$2:$H$11,4,FALSE),0)</f>
        <v>4.5</v>
      </c>
      <c r="K43" s="8" t="s">
        <v>71</v>
      </c>
      <c r="L43" s="8" t="s">
        <v>72</v>
      </c>
      <c r="M43" s="13">
        <v>6400</v>
      </c>
      <c r="N43" s="13">
        <v>7060</v>
      </c>
      <c r="O43" s="14">
        <f t="shared" si="6"/>
        <v>-660</v>
      </c>
      <c r="P43" s="15">
        <f t="shared" si="7"/>
        <v>-0.10312499999999999</v>
      </c>
      <c r="Q43" s="8" t="s">
        <v>73</v>
      </c>
      <c r="R43" s="8" t="s">
        <v>84</v>
      </c>
      <c r="S43" s="8" t="s">
        <v>130</v>
      </c>
      <c r="T43" s="16">
        <f>IFERROR(VLOOKUP(S43,Assumptions!$A$7:$B$12,2,FALSE),0)</f>
        <v>0.05</v>
      </c>
      <c r="U43" s="14">
        <f t="shared" si="8"/>
        <v>353</v>
      </c>
      <c r="V43" s="14">
        <f t="shared" si="9"/>
        <v>6707</v>
      </c>
      <c r="W43" s="17">
        <f>U43*12/Assumptions!$B$4</f>
        <v>706</v>
      </c>
      <c r="X43" s="8" t="s">
        <v>131</v>
      </c>
    </row>
    <row r="44" spans="1:24" ht="29.25" hidden="1">
      <c r="A44" s="8" t="s">
        <v>145</v>
      </c>
      <c r="B44" s="9">
        <v>46040</v>
      </c>
      <c r="C44" s="10">
        <f t="shared" si="5"/>
        <v>46023</v>
      </c>
      <c r="D44" s="8">
        <v>5</v>
      </c>
      <c r="E44" s="11" t="str">
        <f>IFERROR(VLOOKUP(D44,'Property Master'!$A$2:$J$7,2,FALSE),"")</f>
        <v>Magnolia Mixed Use</v>
      </c>
      <c r="F44" s="11" t="str">
        <f>IFERROR(VLOOKUP(D44,'Property Master'!$A$2:$J$7,3,FALSE),"")</f>
        <v>Mixed Use</v>
      </c>
      <c r="G44" s="8" t="s">
        <v>78</v>
      </c>
      <c r="H44" s="11" t="str">
        <f>IFERROR(VLOOKUP(G44,'Vendor Master'!$A$2:$H$11,2,FALSE),"")</f>
        <v>Cleaning</v>
      </c>
      <c r="I44" s="11" t="str">
        <f>IFERROR(VLOOKUP(G44,'Vendor Master'!$A$2:$H$11,3,FALSE),"")</f>
        <v>No</v>
      </c>
      <c r="J44" s="12">
        <f>IFERROR(VLOOKUP(G44,'Vendor Master'!$A$2:$H$11,4,FALSE),0)</f>
        <v>4.0999999999999996</v>
      </c>
      <c r="K44" s="8" t="s">
        <v>95</v>
      </c>
      <c r="L44" s="8" t="s">
        <v>96</v>
      </c>
      <c r="M44" s="13">
        <v>2800</v>
      </c>
      <c r="N44" s="13">
        <v>3760</v>
      </c>
      <c r="O44" s="14">
        <f t="shared" si="6"/>
        <v>-960</v>
      </c>
      <c r="P44" s="15">
        <f t="shared" si="7"/>
        <v>-0.34285714285714286</v>
      </c>
      <c r="Q44" s="8" t="s">
        <v>97</v>
      </c>
      <c r="R44" s="8" t="s">
        <v>84</v>
      </c>
      <c r="S44" s="8" t="s">
        <v>98</v>
      </c>
      <c r="T44" s="16">
        <f>IFERROR(VLOOKUP(S44,Assumptions!$A$7:$B$12,2,FALSE),0)</f>
        <v>0.2</v>
      </c>
      <c r="U44" s="14">
        <f t="shared" si="8"/>
        <v>752</v>
      </c>
      <c r="V44" s="14">
        <f t="shared" si="9"/>
        <v>3008</v>
      </c>
      <c r="W44" s="17">
        <f>U44*12/Assumptions!$B$4</f>
        <v>1504</v>
      </c>
      <c r="X44" s="8" t="s">
        <v>99</v>
      </c>
    </row>
    <row r="45" spans="1:24" ht="28.5" hidden="1">
      <c r="A45" s="8" t="s">
        <v>146</v>
      </c>
      <c r="B45" s="9">
        <v>46076</v>
      </c>
      <c r="C45" s="10">
        <f t="shared" si="5"/>
        <v>46054</v>
      </c>
      <c r="D45" s="8">
        <v>5</v>
      </c>
      <c r="E45" s="11" t="str">
        <f>IFERROR(VLOOKUP(D45,'Property Master'!$A$2:$J$7,2,FALSE),"")</f>
        <v>Magnolia Mixed Use</v>
      </c>
      <c r="F45" s="11" t="str">
        <f>IFERROR(VLOOKUP(D45,'Property Master'!$A$2:$J$7,3,FALSE),"")</f>
        <v>Mixed Use</v>
      </c>
      <c r="G45" s="8" t="s">
        <v>78</v>
      </c>
      <c r="H45" s="11" t="str">
        <f>IFERROR(VLOOKUP(G45,'Vendor Master'!$A$2:$H$11,2,FALSE),"")</f>
        <v>Cleaning</v>
      </c>
      <c r="I45" s="11" t="str">
        <f>IFERROR(VLOOKUP(G45,'Vendor Master'!$A$2:$H$11,3,FALSE),"")</f>
        <v>No</v>
      </c>
      <c r="J45" s="12">
        <f>IFERROR(VLOOKUP(G45,'Vendor Master'!$A$2:$H$11,4,FALSE),0)</f>
        <v>4.0999999999999996</v>
      </c>
      <c r="K45" s="8" t="s">
        <v>71</v>
      </c>
      <c r="L45" s="8" t="s">
        <v>72</v>
      </c>
      <c r="M45" s="13">
        <v>5700</v>
      </c>
      <c r="N45" s="13">
        <v>5770</v>
      </c>
      <c r="O45" s="14">
        <f t="shared" si="6"/>
        <v>-70</v>
      </c>
      <c r="P45" s="15">
        <f t="shared" si="7"/>
        <v>-1.2280701754385965E-2</v>
      </c>
      <c r="Q45" s="8" t="s">
        <v>73</v>
      </c>
      <c r="R45" s="8" t="s">
        <v>74</v>
      </c>
      <c r="S45" s="8" t="s">
        <v>79</v>
      </c>
      <c r="T45" s="16">
        <f>IFERROR(VLOOKUP(S45,Assumptions!$A$7:$B$12,2,FALSE),0)</f>
        <v>0.08</v>
      </c>
      <c r="U45" s="14">
        <f t="shared" si="8"/>
        <v>461.6</v>
      </c>
      <c r="V45" s="14">
        <f t="shared" si="9"/>
        <v>5308.4</v>
      </c>
      <c r="W45" s="17">
        <f>U45*12/Assumptions!$B$4</f>
        <v>923.20000000000016</v>
      </c>
      <c r="X45" s="8" t="s">
        <v>80</v>
      </c>
    </row>
    <row r="46" spans="1:24" ht="28.5" hidden="1">
      <c r="A46" s="8" t="s">
        <v>147</v>
      </c>
      <c r="B46" s="9">
        <v>46106</v>
      </c>
      <c r="C46" s="10">
        <f t="shared" si="5"/>
        <v>46082</v>
      </c>
      <c r="D46" s="8">
        <v>5</v>
      </c>
      <c r="E46" s="11" t="str">
        <f>IFERROR(VLOOKUP(D46,'Property Master'!$A$2:$J$7,2,FALSE),"")</f>
        <v>Magnolia Mixed Use</v>
      </c>
      <c r="F46" s="11" t="str">
        <f>IFERROR(VLOOKUP(D46,'Property Master'!$A$2:$J$7,3,FALSE),"")</f>
        <v>Mixed Use</v>
      </c>
      <c r="G46" s="8" t="s">
        <v>110</v>
      </c>
      <c r="H46" s="11" t="str">
        <f>IFERROR(VLOOKUP(G46,'Vendor Master'!$A$2:$H$11,2,FALSE),"")</f>
        <v>Electrical</v>
      </c>
      <c r="I46" s="11" t="str">
        <f>IFERROR(VLOOKUP(G46,'Vendor Master'!$A$2:$H$11,3,FALSE),"")</f>
        <v>Yes</v>
      </c>
      <c r="J46" s="12">
        <f>IFERROR(VLOOKUP(G46,'Vendor Master'!$A$2:$H$11,4,FALSE),0)</f>
        <v>4.7</v>
      </c>
      <c r="K46" s="8" t="s">
        <v>82</v>
      </c>
      <c r="L46" s="8" t="s">
        <v>83</v>
      </c>
      <c r="M46" s="13">
        <v>11000</v>
      </c>
      <c r="N46" s="13">
        <v>11440</v>
      </c>
      <c r="O46" s="14">
        <f t="shared" si="6"/>
        <v>-440</v>
      </c>
      <c r="P46" s="15">
        <f t="shared" si="7"/>
        <v>-0.04</v>
      </c>
      <c r="Q46" s="8" t="s">
        <v>73</v>
      </c>
      <c r="R46" s="8" t="s">
        <v>74</v>
      </c>
      <c r="S46" s="8" t="s">
        <v>75</v>
      </c>
      <c r="T46" s="16">
        <f>IFERROR(VLOOKUP(S46,Assumptions!$A$7:$B$12,2,FALSE),0)</f>
        <v>0</v>
      </c>
      <c r="U46" s="14">
        <f t="shared" si="8"/>
        <v>0</v>
      </c>
      <c r="V46" s="14">
        <f t="shared" si="9"/>
        <v>11440</v>
      </c>
      <c r="W46" s="17">
        <f>U46*12/Assumptions!$B$4</f>
        <v>0</v>
      </c>
      <c r="X46" s="8" t="s">
        <v>76</v>
      </c>
    </row>
    <row r="47" spans="1:24" ht="28.5">
      <c r="A47" s="8" t="s">
        <v>148</v>
      </c>
      <c r="B47" s="9">
        <v>46026</v>
      </c>
      <c r="C47" s="10">
        <f t="shared" si="5"/>
        <v>46023</v>
      </c>
      <c r="D47" s="8">
        <v>6</v>
      </c>
      <c r="E47" s="11" t="str">
        <f>IFERROR(VLOOKUP(D47,'Property Master'!$A$2:$J$7,2,FALSE),"")</f>
        <v>Pinecrest Business Park</v>
      </c>
      <c r="F47" s="11" t="str">
        <f>IFERROR(VLOOKUP(D47,'Property Master'!$A$2:$J$7,3,FALSE),"")</f>
        <v>Office</v>
      </c>
      <c r="G47" s="8" t="s">
        <v>78</v>
      </c>
      <c r="H47" s="11" t="str">
        <f>IFERROR(VLOOKUP(G47,'Vendor Master'!$A$2:$H$11,2,FALSE),"")</f>
        <v>Cleaning</v>
      </c>
      <c r="I47" s="11" t="str">
        <f>IFERROR(VLOOKUP(G47,'Vendor Master'!$A$2:$H$11,3,FALSE),"")</f>
        <v>No</v>
      </c>
      <c r="J47" s="12">
        <f>IFERROR(VLOOKUP(G47,'Vendor Master'!$A$2:$H$11,4,FALSE),0)</f>
        <v>4.0999999999999996</v>
      </c>
      <c r="K47" s="8" t="s">
        <v>71</v>
      </c>
      <c r="L47" s="8" t="s">
        <v>72</v>
      </c>
      <c r="M47" s="13">
        <v>6400</v>
      </c>
      <c r="N47" s="13">
        <v>6180</v>
      </c>
      <c r="O47" s="14">
        <f t="shared" si="6"/>
        <v>220</v>
      </c>
      <c r="P47" s="15">
        <f t="shared" si="7"/>
        <v>3.4375000000000003E-2</v>
      </c>
      <c r="Q47" s="8" t="s">
        <v>73</v>
      </c>
      <c r="R47" s="8" t="s">
        <v>74</v>
      </c>
      <c r="S47" s="8" t="s">
        <v>79</v>
      </c>
      <c r="T47" s="16">
        <f>IFERROR(VLOOKUP(S47,Assumptions!$A$7:$B$12,2,FALSE),0)</f>
        <v>0.08</v>
      </c>
      <c r="U47" s="14">
        <f>N47*T47</f>
        <v>494.40000000000003</v>
      </c>
      <c r="V47" s="14">
        <f t="shared" si="9"/>
        <v>5685.6</v>
      </c>
      <c r="W47" s="17">
        <f>U47*12/Assumptions!$B$4</f>
        <v>988.80000000000007</v>
      </c>
      <c r="X47" s="8" t="s">
        <v>80</v>
      </c>
    </row>
    <row r="48" spans="1:24" ht="28.5">
      <c r="A48" s="8" t="s">
        <v>149</v>
      </c>
      <c r="B48" s="9">
        <v>46069</v>
      </c>
      <c r="C48" s="10">
        <f t="shared" si="5"/>
        <v>46054</v>
      </c>
      <c r="D48" s="8">
        <v>6</v>
      </c>
      <c r="E48" s="11" t="str">
        <f>IFERROR(VLOOKUP(D48,'Property Master'!$A$2:$J$7,2,FALSE),"")</f>
        <v>Pinecrest Business Park</v>
      </c>
      <c r="F48" s="11" t="str">
        <f>IFERROR(VLOOKUP(D48,'Property Master'!$A$2:$J$7,3,FALSE),"")</f>
        <v>Office</v>
      </c>
      <c r="G48" s="8" t="s">
        <v>117</v>
      </c>
      <c r="H48" s="11" t="str">
        <f>IFERROR(VLOOKUP(G48,'Vendor Master'!$A$2:$H$11,2,FALSE),"")</f>
        <v>Elevator</v>
      </c>
      <c r="I48" s="11" t="str">
        <f>IFERROR(VLOOKUP(G48,'Vendor Master'!$A$2:$H$11,3,FALSE),"")</f>
        <v>Yes</v>
      </c>
      <c r="J48" s="12">
        <f>IFERROR(VLOOKUP(G48,'Vendor Master'!$A$2:$H$11,4,FALSE),0)</f>
        <v>4.4000000000000004</v>
      </c>
      <c r="K48" s="8" t="s">
        <v>82</v>
      </c>
      <c r="L48" s="8" t="s">
        <v>72</v>
      </c>
      <c r="M48" s="13">
        <v>16200</v>
      </c>
      <c r="N48" s="13">
        <v>20610</v>
      </c>
      <c r="O48" s="14">
        <f t="shared" si="6"/>
        <v>-4410</v>
      </c>
      <c r="P48" s="15">
        <f t="shared" si="7"/>
        <v>-0.2722222222222222</v>
      </c>
      <c r="Q48" s="8" t="s">
        <v>73</v>
      </c>
      <c r="R48" s="8" t="s">
        <v>84</v>
      </c>
      <c r="S48" s="8" t="s">
        <v>102</v>
      </c>
      <c r="T48" s="16">
        <f>IFERROR(VLOOKUP(S48,Assumptions!$A$7:$B$12,2,FALSE),0)</f>
        <v>0.06</v>
      </c>
      <c r="U48" s="14">
        <f t="shared" si="8"/>
        <v>1236.5999999999999</v>
      </c>
      <c r="V48" s="14">
        <f t="shared" si="9"/>
        <v>19373.400000000001</v>
      </c>
      <c r="W48" s="17">
        <f>U48*12/Assumptions!$B$4</f>
        <v>2473.1999999999998</v>
      </c>
      <c r="X48" s="8" t="s">
        <v>103</v>
      </c>
    </row>
    <row r="49" spans="1:24" ht="28.5">
      <c r="A49" s="8" t="s">
        <v>150</v>
      </c>
      <c r="B49" s="9">
        <v>46097</v>
      </c>
      <c r="C49" s="10">
        <f t="shared" si="5"/>
        <v>46082</v>
      </c>
      <c r="D49" s="8">
        <v>6</v>
      </c>
      <c r="E49" s="11" t="str">
        <f>IFERROR(VLOOKUP(D49,'Property Master'!$A$2:$J$7,2,FALSE),"")</f>
        <v>Pinecrest Business Park</v>
      </c>
      <c r="F49" s="11" t="str">
        <f>IFERROR(VLOOKUP(D49,'Property Master'!$A$2:$J$7,3,FALSE),"")</f>
        <v>Office</v>
      </c>
      <c r="G49" s="8" t="s">
        <v>70</v>
      </c>
      <c r="H49" s="11" t="str">
        <f>IFERROR(VLOOKUP(G49,'Vendor Master'!$A$2:$H$11,2,FALSE),"")</f>
        <v>HVAC</v>
      </c>
      <c r="I49" s="11" t="str">
        <f>IFERROR(VLOOKUP(G49,'Vendor Master'!$A$2:$H$11,3,FALSE),"")</f>
        <v>Yes</v>
      </c>
      <c r="J49" s="12">
        <f>IFERROR(VLOOKUP(G49,'Vendor Master'!$A$2:$H$11,4,FALSE),0)</f>
        <v>4.8</v>
      </c>
      <c r="K49" s="8" t="s">
        <v>71</v>
      </c>
      <c r="L49" s="8" t="s">
        <v>72</v>
      </c>
      <c r="M49" s="13">
        <v>18700</v>
      </c>
      <c r="N49" s="13">
        <v>18300</v>
      </c>
      <c r="O49" s="14">
        <f t="shared" si="6"/>
        <v>400</v>
      </c>
      <c r="P49" s="15">
        <f t="shared" si="7"/>
        <v>2.1390374331550801E-2</v>
      </c>
      <c r="Q49" s="8" t="s">
        <v>73</v>
      </c>
      <c r="R49" s="8" t="s">
        <v>84</v>
      </c>
      <c r="S49" s="8" t="s">
        <v>75</v>
      </c>
      <c r="T49" s="16">
        <f>IFERROR(VLOOKUP(S49,Assumptions!$A$7:$B$12,2,FALSE),0)</f>
        <v>0</v>
      </c>
      <c r="U49" s="14">
        <f t="shared" si="8"/>
        <v>0</v>
      </c>
      <c r="V49" s="14">
        <f t="shared" si="9"/>
        <v>18300</v>
      </c>
      <c r="W49" s="17">
        <f>U49*12/Assumptions!$B$4</f>
        <v>0</v>
      </c>
      <c r="X49" s="8" t="s">
        <v>76</v>
      </c>
    </row>
    <row r="50" spans="1:24" ht="28.5">
      <c r="A50" s="8" t="s">
        <v>151</v>
      </c>
      <c r="B50" s="9">
        <v>46138</v>
      </c>
      <c r="C50" s="10">
        <f t="shared" si="5"/>
        <v>46113</v>
      </c>
      <c r="D50" s="8">
        <v>6</v>
      </c>
      <c r="E50" s="11" t="str">
        <f>IFERROR(VLOOKUP(D50,'Property Master'!$A$2:$J$7,2,FALSE),"")</f>
        <v>Pinecrest Business Park</v>
      </c>
      <c r="F50" s="11" t="str">
        <f>IFERROR(VLOOKUP(D50,'Property Master'!$A$2:$J$7,3,FALSE),"")</f>
        <v>Office</v>
      </c>
      <c r="G50" s="8" t="s">
        <v>105</v>
      </c>
      <c r="H50" s="11" t="str">
        <f>IFERROR(VLOOKUP(G50,'Vendor Master'!$A$2:$H$11,2,FALSE),"")</f>
        <v>Plumbing</v>
      </c>
      <c r="I50" s="11" t="str">
        <f>IFERROR(VLOOKUP(G50,'Vendor Master'!$A$2:$H$11,3,FALSE),"")</f>
        <v>Yes</v>
      </c>
      <c r="J50" s="12">
        <f>IFERROR(VLOOKUP(G50,'Vendor Master'!$A$2:$H$11,4,FALSE),0)</f>
        <v>4.5999999999999996</v>
      </c>
      <c r="K50" s="8" t="s">
        <v>71</v>
      </c>
      <c r="L50" s="8" t="s">
        <v>72</v>
      </c>
      <c r="M50" s="13">
        <v>12600</v>
      </c>
      <c r="N50" s="13">
        <v>11410</v>
      </c>
      <c r="O50" s="14">
        <f t="shared" si="6"/>
        <v>1190</v>
      </c>
      <c r="P50" s="15">
        <f t="shared" si="7"/>
        <v>9.4444444444444442E-2</v>
      </c>
      <c r="Q50" s="8" t="s">
        <v>73</v>
      </c>
      <c r="R50" s="8" t="s">
        <v>87</v>
      </c>
      <c r="S50" s="8" t="s">
        <v>75</v>
      </c>
      <c r="T50" s="16">
        <f>IFERROR(VLOOKUP(S50,Assumptions!$A$7:$B$12,2,FALSE),0)</f>
        <v>0</v>
      </c>
      <c r="U50" s="14">
        <f t="shared" si="8"/>
        <v>0</v>
      </c>
      <c r="V50" s="14">
        <f t="shared" si="9"/>
        <v>11410</v>
      </c>
      <c r="W50" s="17">
        <f>U50*12/Assumptions!$B$4</f>
        <v>0</v>
      </c>
      <c r="X50" s="8" t="s">
        <v>76</v>
      </c>
    </row>
    <row r="51" spans="1:24">
      <c r="A51" s="8" t="s">
        <v>152</v>
      </c>
      <c r="B51" s="9">
        <v>46160</v>
      </c>
      <c r="C51" s="10">
        <f t="shared" si="5"/>
        <v>46143</v>
      </c>
      <c r="D51" s="8">
        <v>6</v>
      </c>
      <c r="E51" s="11" t="str">
        <f>IFERROR(VLOOKUP(D51,'Property Master'!$A$2:$J$7,2,FALSE),"")</f>
        <v>Pinecrest Business Park</v>
      </c>
      <c r="F51" s="11" t="str">
        <f>IFERROR(VLOOKUP(D51,'Property Master'!$A$2:$J$7,3,FALSE),"")</f>
        <v>Office</v>
      </c>
      <c r="G51" s="8" t="s">
        <v>110</v>
      </c>
      <c r="H51" s="11" t="str">
        <f>IFERROR(VLOOKUP(G51,'Vendor Master'!$A$2:$H$11,2,FALSE),"")</f>
        <v>Electrical</v>
      </c>
      <c r="I51" s="11" t="str">
        <f>IFERROR(VLOOKUP(G51,'Vendor Master'!$A$2:$H$11,3,FALSE),"")</f>
        <v>Yes</v>
      </c>
      <c r="J51" s="12">
        <f>IFERROR(VLOOKUP(G51,'Vendor Master'!$A$2:$H$11,4,FALSE),0)</f>
        <v>4.7</v>
      </c>
      <c r="K51" s="8" t="s">
        <v>71</v>
      </c>
      <c r="L51" s="8" t="s">
        <v>72</v>
      </c>
      <c r="M51" s="13">
        <v>8200</v>
      </c>
      <c r="N51" s="13">
        <v>8830</v>
      </c>
      <c r="O51" s="14">
        <f t="shared" si="6"/>
        <v>-630</v>
      </c>
      <c r="P51" s="15">
        <f t="shared" si="7"/>
        <v>-7.6829268292682926E-2</v>
      </c>
      <c r="Q51" s="8" t="s">
        <v>73</v>
      </c>
      <c r="R51" s="8" t="s">
        <v>87</v>
      </c>
      <c r="S51" s="8" t="s">
        <v>107</v>
      </c>
      <c r="T51" s="16">
        <f>IFERROR(VLOOKUP(S51,Assumptions!$A$7:$B$12,2,FALSE),0)</f>
        <v>0.1</v>
      </c>
      <c r="U51" s="14">
        <f t="shared" si="8"/>
        <v>883</v>
      </c>
      <c r="V51" s="14">
        <f t="shared" si="9"/>
        <v>7947</v>
      </c>
      <c r="W51" s="17">
        <f>U51*12/Assumptions!$B$4</f>
        <v>1766</v>
      </c>
      <c r="X51" s="8" t="s">
        <v>108</v>
      </c>
    </row>
    <row r="52" spans="1:24" ht="28.5">
      <c r="A52" s="8" t="s">
        <v>153</v>
      </c>
      <c r="B52" s="9">
        <v>46183</v>
      </c>
      <c r="C52" s="10">
        <f t="shared" si="5"/>
        <v>46174</v>
      </c>
      <c r="D52" s="8">
        <v>6</v>
      </c>
      <c r="E52" s="11" t="str">
        <f>IFERROR(VLOOKUP(D52,'Property Master'!$A$2:$J$7,2,FALSE),"")</f>
        <v>Pinecrest Business Park</v>
      </c>
      <c r="F52" s="11" t="str">
        <f>IFERROR(VLOOKUP(D52,'Property Master'!$A$2:$J$7,3,FALSE),"")</f>
        <v>Office</v>
      </c>
      <c r="G52" s="8" t="s">
        <v>70</v>
      </c>
      <c r="H52" s="11" t="str">
        <f>IFERROR(VLOOKUP(G52,'Vendor Master'!$A$2:$H$11,2,FALSE),"")</f>
        <v>HVAC</v>
      </c>
      <c r="I52" s="11" t="str">
        <f>IFERROR(VLOOKUP(G52,'Vendor Master'!$A$2:$H$11,3,FALSE),"")</f>
        <v>Yes</v>
      </c>
      <c r="J52" s="12">
        <f>IFERROR(VLOOKUP(G52,'Vendor Master'!$A$2:$H$11,4,FALSE),0)</f>
        <v>4.8</v>
      </c>
      <c r="K52" s="8" t="s">
        <v>82</v>
      </c>
      <c r="L52" s="8" t="s">
        <v>83</v>
      </c>
      <c r="M52" s="13">
        <v>11900</v>
      </c>
      <c r="N52" s="13">
        <v>14700</v>
      </c>
      <c r="O52" s="14">
        <f t="shared" si="6"/>
        <v>-2800</v>
      </c>
      <c r="P52" s="15">
        <f t="shared" si="7"/>
        <v>-0.23529411764705882</v>
      </c>
      <c r="Q52" s="8" t="s">
        <v>73</v>
      </c>
      <c r="R52" s="8" t="s">
        <v>87</v>
      </c>
      <c r="S52" s="8" t="s">
        <v>102</v>
      </c>
      <c r="T52" s="16">
        <f>IFERROR(VLOOKUP(S52,Assumptions!$A$7:$B$12,2,FALSE),0)</f>
        <v>0.06</v>
      </c>
      <c r="U52" s="14">
        <f t="shared" si="8"/>
        <v>882</v>
      </c>
      <c r="V52" s="14">
        <f t="shared" si="9"/>
        <v>13818</v>
      </c>
      <c r="W52" s="17">
        <f>U52*12/Assumptions!$B$4</f>
        <v>1764</v>
      </c>
      <c r="X52" s="8" t="s">
        <v>103</v>
      </c>
    </row>
    <row r="53" spans="1:24" ht="28.5">
      <c r="A53" s="8" t="s">
        <v>154</v>
      </c>
      <c r="B53" s="9">
        <v>46033</v>
      </c>
      <c r="C53" s="10">
        <f t="shared" si="5"/>
        <v>46023</v>
      </c>
      <c r="D53" s="8">
        <v>6</v>
      </c>
      <c r="E53" s="11" t="str">
        <f>IFERROR(VLOOKUP(D53,'Property Master'!$A$2:$J$7,2,FALSE),"")</f>
        <v>Pinecrest Business Park</v>
      </c>
      <c r="F53" s="11" t="str">
        <f>IFERROR(VLOOKUP(D53,'Property Master'!$A$2:$J$7,3,FALSE),"")</f>
        <v>Office</v>
      </c>
      <c r="G53" s="8" t="s">
        <v>86</v>
      </c>
      <c r="H53" s="11" t="str">
        <f>IFERROR(VLOOKUP(G53,'Vendor Master'!$A$2:$H$11,2,FALSE),"")</f>
        <v>General Contractor</v>
      </c>
      <c r="I53" s="11" t="str">
        <f>IFERROR(VLOOKUP(G53,'Vendor Master'!$A$2:$H$11,3,FALSE),"")</f>
        <v>Yes</v>
      </c>
      <c r="J53" s="12">
        <f>IFERROR(VLOOKUP(G53,'Vendor Master'!$A$2:$H$11,4,FALSE),0)</f>
        <v>4.3</v>
      </c>
      <c r="K53" s="8" t="s">
        <v>82</v>
      </c>
      <c r="L53" s="8" t="s">
        <v>83</v>
      </c>
      <c r="M53" s="13">
        <v>21600</v>
      </c>
      <c r="N53" s="13">
        <v>26530</v>
      </c>
      <c r="O53" s="14">
        <f t="shared" si="6"/>
        <v>-4930</v>
      </c>
      <c r="P53" s="15">
        <f t="shared" si="7"/>
        <v>-0.22824074074074074</v>
      </c>
      <c r="Q53" s="8" t="s">
        <v>73</v>
      </c>
      <c r="R53" s="8" t="s">
        <v>74</v>
      </c>
      <c r="S53" s="8" t="s">
        <v>102</v>
      </c>
      <c r="T53" s="16">
        <f>IFERROR(VLOOKUP(S53,Assumptions!$A$7:$B$12,2,FALSE),0)</f>
        <v>0.06</v>
      </c>
      <c r="U53" s="14">
        <f t="shared" si="8"/>
        <v>1591.8</v>
      </c>
      <c r="V53" s="14">
        <f t="shared" si="9"/>
        <v>24938.2</v>
      </c>
      <c r="W53" s="17">
        <f>U53*12/Assumptions!$B$4</f>
        <v>3183.6</v>
      </c>
      <c r="X53" s="8" t="s">
        <v>103</v>
      </c>
    </row>
    <row r="54" spans="1:24" ht="29.25">
      <c r="A54" s="8" t="s">
        <v>155</v>
      </c>
      <c r="B54" s="9">
        <v>46056</v>
      </c>
      <c r="C54" s="10">
        <f t="shared" si="5"/>
        <v>46054</v>
      </c>
      <c r="D54" s="8">
        <v>6</v>
      </c>
      <c r="E54" s="11" t="str">
        <f>IFERROR(VLOOKUP(D54,'Property Master'!$A$2:$J$7,2,FALSE),"")</f>
        <v>Pinecrest Business Park</v>
      </c>
      <c r="F54" s="11" t="str">
        <f>IFERROR(VLOOKUP(D54,'Property Master'!$A$2:$J$7,3,FALSE),"")</f>
        <v>Office</v>
      </c>
      <c r="G54" s="8" t="s">
        <v>110</v>
      </c>
      <c r="H54" s="11" t="str">
        <f>IFERROR(VLOOKUP(G54,'Vendor Master'!$A$2:$H$11,2,FALSE),"")</f>
        <v>Electrical</v>
      </c>
      <c r="I54" s="11" t="str">
        <f>IFERROR(VLOOKUP(G54,'Vendor Master'!$A$2:$H$11,3,FALSE),"")</f>
        <v>Yes</v>
      </c>
      <c r="J54" s="12">
        <f>IFERROR(VLOOKUP(G54,'Vendor Master'!$A$2:$H$11,4,FALSE),0)</f>
        <v>4.7</v>
      </c>
      <c r="K54" s="8" t="s">
        <v>95</v>
      </c>
      <c r="L54" s="8" t="s">
        <v>96</v>
      </c>
      <c r="M54" s="13">
        <v>6100</v>
      </c>
      <c r="N54" s="13">
        <v>8950</v>
      </c>
      <c r="O54" s="14">
        <f t="shared" si="6"/>
        <v>-2850</v>
      </c>
      <c r="P54" s="15">
        <f t="shared" si="7"/>
        <v>-0.46721311475409838</v>
      </c>
      <c r="Q54" s="8" t="s">
        <v>97</v>
      </c>
      <c r="R54" s="8" t="s">
        <v>74</v>
      </c>
      <c r="S54" s="8" t="s">
        <v>98</v>
      </c>
      <c r="T54" s="16">
        <f>IFERROR(VLOOKUP(S54,Assumptions!$A$7:$B$12,2,FALSE),0)</f>
        <v>0.2</v>
      </c>
      <c r="U54" s="14">
        <f t="shared" si="8"/>
        <v>1790</v>
      </c>
      <c r="V54" s="14">
        <f t="shared" si="9"/>
        <v>7160</v>
      </c>
      <c r="W54" s="17">
        <f>U54*12/Assumptions!$B$4</f>
        <v>3580</v>
      </c>
      <c r="X54" s="8" t="s">
        <v>99</v>
      </c>
    </row>
    <row r="55" spans="1:24" ht="28.5">
      <c r="A55" s="8" t="s">
        <v>156</v>
      </c>
      <c r="B55" s="9">
        <v>46097</v>
      </c>
      <c r="C55" s="10">
        <f t="shared" si="5"/>
        <v>46082</v>
      </c>
      <c r="D55" s="8">
        <v>6</v>
      </c>
      <c r="E55" s="11" t="str">
        <f>IFERROR(VLOOKUP(D55,'Property Master'!$A$2:$J$7,2,FALSE),"")</f>
        <v>Pinecrest Business Park</v>
      </c>
      <c r="F55" s="11" t="str">
        <f>IFERROR(VLOOKUP(D55,'Property Master'!$A$2:$J$7,3,FALSE),"")</f>
        <v>Office</v>
      </c>
      <c r="G55" s="8" t="s">
        <v>86</v>
      </c>
      <c r="H55" s="11" t="str">
        <f>IFERROR(VLOOKUP(G55,'Vendor Master'!$A$2:$H$11,2,FALSE),"")</f>
        <v>General Contractor</v>
      </c>
      <c r="I55" s="11" t="str">
        <f>IFERROR(VLOOKUP(G55,'Vendor Master'!$A$2:$H$11,3,FALSE),"")</f>
        <v>Yes</v>
      </c>
      <c r="J55" s="12">
        <f>IFERROR(VLOOKUP(G55,'Vendor Master'!$A$2:$H$11,4,FALSE),0)</f>
        <v>4.3</v>
      </c>
      <c r="K55" s="8" t="s">
        <v>82</v>
      </c>
      <c r="L55" s="8" t="s">
        <v>83</v>
      </c>
      <c r="M55" s="13">
        <v>16700</v>
      </c>
      <c r="N55" s="13">
        <v>21290</v>
      </c>
      <c r="O55" s="14">
        <f t="shared" si="6"/>
        <v>-4590</v>
      </c>
      <c r="P55" s="15">
        <f t="shared" si="7"/>
        <v>-0.2748502994011976</v>
      </c>
      <c r="Q55" s="8" t="s">
        <v>73</v>
      </c>
      <c r="R55" s="8" t="s">
        <v>74</v>
      </c>
      <c r="S55" s="8" t="s">
        <v>102</v>
      </c>
      <c r="T55" s="16">
        <f>IFERROR(VLOOKUP(S55,Assumptions!$A$7:$B$12,2,FALSE),0)</f>
        <v>0.06</v>
      </c>
      <c r="U55" s="14">
        <f t="shared" si="8"/>
        <v>1277.3999999999999</v>
      </c>
      <c r="V55" s="14">
        <f t="shared" si="9"/>
        <v>20012.599999999999</v>
      </c>
      <c r="W55" s="17">
        <f>U55*12/Assumptions!$B$4</f>
        <v>2554.7999999999997</v>
      </c>
      <c r="X55" s="8" t="s">
        <v>103</v>
      </c>
    </row>
  </sheetData>
  <conditionalFormatting sqref="O2:O55">
    <cfRule type="cellIs" dxfId="7" priority="1" operator="lessThan">
      <formula>0</formula>
    </cfRule>
  </conditionalFormatting>
  <conditionalFormatting sqref="U2:U55">
    <cfRule type="dataBar" priority="2">
      <dataBar>
        <cfvo type="min"/>
        <cfvo type="max"/>
        <color rgb="FFA02B93"/>
      </dataBar>
    </cfRule>
  </conditionalFormatting>
  <conditionalFormatting sqref="I2:I55">
    <cfRule type="expression" dxfId="6" priority="3">
      <formula>I2="No"</formula>
    </cfRule>
  </conditionalFormatting>
  <conditionalFormatting sqref="Q2:Q55">
    <cfRule type="expression" dxfId="5" priority="4">
      <formula>Q2="Yes"</formula>
    </cfRule>
  </conditionalFormatting>
  <conditionalFormatting sqref="U2:U55"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{6912A534-E6DB-FB65-7A40-569C3C766047}</x14:id>
        </ext>
      </extLst>
    </cfRule>
  </conditionalFormatting>
  <dataValidations count="4">
    <dataValidation type="list" sqref="K2:K55" xr:uid="{00000000-0002-0000-0100-000002000000}">
      <formula1>"Preventive,Corrective,Emergency"</formula1>
    </dataValidation>
    <dataValidation type="list" sqref="L2:L55" xr:uid="{00000000-0002-0000-0100-000003000000}">
      <formula1>"Medium,High,Critical"</formula1>
    </dataValidation>
    <dataValidation type="list" sqref="Q2:Q55" xr:uid="{00000000-0002-0000-0100-000004000000}">
      <formula1>"Yes,No,N/A"</formula1>
    </dataValidation>
    <dataValidation type="list" sqref="R2:R55" xr:uid="{00000000-0002-0000-0100-000005000000}">
      <formula1>"Paid,Approved,Pending"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12A534-E6DB-FB65-7A40-569C3C766047}">
            <x14:dataBar>
              <x14:cfvo type="min"/>
              <x14:cfvo type="max"/>
              <x14:negativeFillColor auto="1"/>
              <x14:axisColor auto="1"/>
            </x14:dataBar>
          </x14:cfRule>
          <xm:sqref>U2:U55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'Property Master'!$A$2:$A$7</xm:f>
          </x14:formula1>
          <xm:sqref>D2:D55</xm:sqref>
        </x14:dataValidation>
        <x14:dataValidation type="list" xr:uid="{00000000-0002-0000-0100-000001000000}">
          <x14:formula1>
            <xm:f>'Vendor Master'!$A$2:$A$11</xm:f>
          </x14:formula1>
          <xm:sqref>G2:G55</xm:sqref>
        </x14:dataValidation>
        <x14:dataValidation type="list" xr:uid="{00000000-0002-0000-0100-000006000000}">
          <x14:formula1>
            <xm:f>Assumptions!$A$7:$A$12</xm:f>
          </x14:formula1>
          <xm:sqref>S2:S55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showGridLines="0" workbookViewId="0">
      <pane ySplit="2" topLeftCell="A3" activePane="bottomLeft" state="frozen"/>
      <selection pane="bottomLeft" activeCell="E21" sqref="E21"/>
    </sheetView>
  </sheetViews>
  <sheetFormatPr baseColWidth="10" defaultColWidth="9" defaultRowHeight="14.25"/>
  <cols>
    <col min="1" max="1" width="28" customWidth="1"/>
    <col min="2" max="2" width="18" customWidth="1"/>
    <col min="3" max="3" width="20" customWidth="1"/>
    <col min="4" max="4" width="18" customWidth="1"/>
    <col min="5" max="6" width="22" customWidth="1"/>
    <col min="7" max="7" width="19" customWidth="1"/>
    <col min="8" max="8" width="20" customWidth="1"/>
    <col min="9" max="9" width="18" customWidth="1"/>
  </cols>
  <sheetData>
    <row r="1" spans="1:8" ht="27.95" customHeight="1">
      <c r="A1" s="30" t="s">
        <v>157</v>
      </c>
      <c r="B1" s="30"/>
      <c r="C1" s="30"/>
      <c r="D1" s="30"/>
      <c r="E1" s="30"/>
      <c r="F1" s="30"/>
      <c r="G1" s="30"/>
      <c r="H1" s="30"/>
    </row>
    <row r="2" spans="1:8" ht="30" customHeight="1">
      <c r="A2" s="31" t="s">
        <v>158</v>
      </c>
      <c r="B2" s="31"/>
      <c r="C2" s="31"/>
      <c r="D2" s="31"/>
      <c r="E2" s="31"/>
      <c r="F2" s="31"/>
      <c r="G2" s="31"/>
      <c r="H2" s="31"/>
    </row>
    <row r="4" spans="1:8" ht="27.95" customHeight="1">
      <c r="A4" s="1" t="s">
        <v>9</v>
      </c>
      <c r="B4" s="23">
        <f>SUM('Maintenance Spend Data'!$N$2:$N$55)</f>
        <v>570780</v>
      </c>
      <c r="C4" s="1" t="s">
        <v>159</v>
      </c>
      <c r="D4" s="23">
        <f>SUM('Maintenance Spend Data'!$M$2:$M$55)</f>
        <v>528700</v>
      </c>
      <c r="E4" s="1" t="s">
        <v>160</v>
      </c>
      <c r="F4" s="23">
        <f>SUM('Maintenance Spend Data'!$O$2:$O$55)</f>
        <v>-42080</v>
      </c>
      <c r="G4" s="1" t="s">
        <v>12</v>
      </c>
      <c r="H4" s="23">
        <f>SUM('Maintenance Spend Data'!$U$2:$U$55)</f>
        <v>34245.1</v>
      </c>
    </row>
    <row r="5" spans="1:8" ht="27.95" customHeight="1"/>
    <row r="6" spans="1:8" ht="27.95" customHeight="1">
      <c r="A6" s="1" t="s">
        <v>15</v>
      </c>
      <c r="B6" s="23">
        <f>SUM('Maintenance Spend Data'!$W$2:$W$55)</f>
        <v>68490.2</v>
      </c>
      <c r="C6" s="1" t="s">
        <v>161</v>
      </c>
      <c r="D6" s="24">
        <f>IFERROR(SUMIF('Maintenance Spend Data'!$K$2:$K$55,"Emergency",'Maintenance Spend Data'!$N$2:$N$55)/B4,0)</f>
        <v>0.11249518203160587</v>
      </c>
      <c r="E6" s="1" t="s">
        <v>162</v>
      </c>
      <c r="F6" s="24">
        <f>IFERROR(COUNTIF('Maintenance Spend Data'!$I$2:$I$55,"Yes")/COUNTA('Maintenance Spend Data'!$A$2:$A$55),0)</f>
        <v>0.77777777777777779</v>
      </c>
      <c r="G6" s="1" t="s">
        <v>163</v>
      </c>
      <c r="H6" s="24">
        <f>IFERROR(SUMIF('Maintenance Spend Data'!$K$2:$K$55,"Preventive",'Maintenance Spend Data'!$N$2:$N$55)/B4,0)</f>
        <v>0.51305231437681764</v>
      </c>
    </row>
    <row r="9" spans="1:8" ht="15">
      <c r="A9" s="32" t="s">
        <v>164</v>
      </c>
      <c r="B9" s="32"/>
      <c r="C9" s="32"/>
      <c r="D9" s="32"/>
      <c r="E9" s="32"/>
      <c r="F9" s="32"/>
      <c r="G9" s="32"/>
    </row>
    <row r="10" spans="1:8" ht="30">
      <c r="A10" s="2" t="s">
        <v>51</v>
      </c>
      <c r="B10" s="2" t="s">
        <v>165</v>
      </c>
      <c r="C10" s="2" t="s">
        <v>166</v>
      </c>
      <c r="D10" s="2" t="s">
        <v>167</v>
      </c>
      <c r="E10" s="2" t="s">
        <v>168</v>
      </c>
      <c r="F10" s="2" t="s">
        <v>12</v>
      </c>
      <c r="G10" s="2" t="s">
        <v>169</v>
      </c>
    </row>
    <row r="11" spans="1:8">
      <c r="A11" s="4" t="s">
        <v>170</v>
      </c>
      <c r="B11" s="5">
        <f>IFERROR(VLOOKUP(A11,'Property Master'!$B$2:$H$7,7,FALSE),0)</f>
        <v>285000</v>
      </c>
      <c r="C11" s="5">
        <f>B11*Assumptions!$B$4/12</f>
        <v>142500</v>
      </c>
      <c r="D11" s="5">
        <f>SUMIF('Maintenance Spend Data'!$E$2:$E$55,A11,'Maintenance Spend Data'!$N$2:$N$55)</f>
        <v>76080</v>
      </c>
      <c r="E11" s="5">
        <f t="shared" ref="E11:E16" si="0">C11-D11</f>
        <v>66420</v>
      </c>
      <c r="F11" s="5">
        <f>SUMIF('Maintenance Spend Data'!$E$2:$E$55,A11,'Maintenance Spend Data'!$U$2:$U$55)</f>
        <v>2564.7999999999997</v>
      </c>
      <c r="G11" s="6">
        <f t="shared" ref="G11:G16" si="1">IFERROR(D11/C11,0)</f>
        <v>0.53389473684210531</v>
      </c>
    </row>
    <row r="12" spans="1:8">
      <c r="A12" s="4" t="s">
        <v>171</v>
      </c>
      <c r="B12" s="5">
        <f>IFERROR(VLOOKUP(A12,'Property Master'!$B$2:$H$7,7,FALSE),0)</f>
        <v>196000</v>
      </c>
      <c r="C12" s="5">
        <f>B12*Assumptions!$B$4/12</f>
        <v>98000</v>
      </c>
      <c r="D12" s="5">
        <f>SUMIF('Maintenance Spend Data'!$E$2:$E$55,A12,'Maintenance Spend Data'!$N$2:$N$55)</f>
        <v>94100</v>
      </c>
      <c r="E12" s="5">
        <f t="shared" si="0"/>
        <v>3900</v>
      </c>
      <c r="F12" s="5">
        <f>SUMIF('Maintenance Spend Data'!$E$2:$E$55,A12,'Maintenance Spend Data'!$U$2:$U$55)</f>
        <v>8017.6</v>
      </c>
      <c r="G12" s="6">
        <f t="shared" si="1"/>
        <v>0.96020408163265303</v>
      </c>
    </row>
    <row r="13" spans="1:8">
      <c r="A13" s="4" t="s">
        <v>172</v>
      </c>
      <c r="B13" s="5">
        <f>IFERROR(VLOOKUP(A13,'Property Master'!$B$2:$H$7,7,FALSE),0)</f>
        <v>172000</v>
      </c>
      <c r="C13" s="5">
        <f>B13*Assumptions!$B$4/12</f>
        <v>86000</v>
      </c>
      <c r="D13" s="5">
        <f>SUMIF('Maintenance Spend Data'!$E$2:$E$55,A13,'Maintenance Spend Data'!$N$2:$N$55)</f>
        <v>83430</v>
      </c>
      <c r="E13" s="5">
        <f t="shared" si="0"/>
        <v>2570</v>
      </c>
      <c r="F13" s="5">
        <f>SUMIF('Maintenance Spend Data'!$E$2:$E$55,A13,'Maintenance Spend Data'!$U$2:$U$55)</f>
        <v>3852.7999999999997</v>
      </c>
      <c r="G13" s="6">
        <f t="shared" si="1"/>
        <v>0.9701162790697675</v>
      </c>
    </row>
    <row r="14" spans="1:8">
      <c r="A14" s="4" t="s">
        <v>173</v>
      </c>
      <c r="B14" s="5">
        <f>IFERROR(VLOOKUP(A14,'Property Master'!$B$2:$H$7,7,FALSE),0)</f>
        <v>348000</v>
      </c>
      <c r="C14" s="5">
        <f>B14*Assumptions!$B$4/12</f>
        <v>174000</v>
      </c>
      <c r="D14" s="5">
        <f>SUMIF('Maintenance Spend Data'!$E$2:$E$55,A14,'Maintenance Spend Data'!$N$2:$N$55)</f>
        <v>92200</v>
      </c>
      <c r="E14" s="5">
        <f t="shared" si="0"/>
        <v>81800</v>
      </c>
      <c r="F14" s="5">
        <f>SUMIF('Maintenance Spend Data'!$E$2:$E$55,A14,'Maintenance Spend Data'!$U$2:$U$55)</f>
        <v>4435.5</v>
      </c>
      <c r="G14" s="6">
        <f t="shared" si="1"/>
        <v>0.52988505747126435</v>
      </c>
    </row>
    <row r="15" spans="1:8">
      <c r="A15" s="4" t="s">
        <v>174</v>
      </c>
      <c r="B15" s="5">
        <f>IFERROR(VLOOKUP(A15,'Property Master'!$B$2:$H$7,7,FALSE),0)</f>
        <v>238000</v>
      </c>
      <c r="C15" s="5">
        <f>B15*Assumptions!$B$4/12</f>
        <v>119000</v>
      </c>
      <c r="D15" s="5">
        <f>SUMIF('Maintenance Spend Data'!$E$2:$E$55,A15,'Maintenance Spend Data'!$N$2:$N$55)</f>
        <v>88170</v>
      </c>
      <c r="E15" s="5">
        <f t="shared" si="0"/>
        <v>30830</v>
      </c>
      <c r="F15" s="5">
        <f>SUMIF('Maintenance Spend Data'!$E$2:$E$55,A15,'Maintenance Spend Data'!$U$2:$U$55)</f>
        <v>7219.2</v>
      </c>
      <c r="G15" s="6">
        <f t="shared" si="1"/>
        <v>0.74092436974789921</v>
      </c>
    </row>
    <row r="16" spans="1:8">
      <c r="A16" s="4" t="s">
        <v>175</v>
      </c>
      <c r="B16" s="5">
        <f>IFERROR(VLOOKUP(A16,'Property Master'!$B$2:$H$7,7,FALSE),0)</f>
        <v>214000</v>
      </c>
      <c r="C16" s="5">
        <f>B16*Assumptions!$B$4/12</f>
        <v>107000</v>
      </c>
      <c r="D16" s="5">
        <f>SUMIF('Maintenance Spend Data'!$E$2:$E$55,A16,'Maintenance Spend Data'!$N$2:$N$55)</f>
        <v>136800</v>
      </c>
      <c r="E16" s="5">
        <f t="shared" si="0"/>
        <v>-29800</v>
      </c>
      <c r="F16" s="5">
        <f>SUMIF('Maintenance Spend Data'!$E$2:$E$55,A16,'Maintenance Spend Data'!$U$2:$U$55)</f>
        <v>8155.2</v>
      </c>
      <c r="G16" s="6">
        <f t="shared" si="1"/>
        <v>1.2785046728971963</v>
      </c>
    </row>
    <row r="20" spans="1:9" ht="15">
      <c r="A20" s="32" t="s">
        <v>176</v>
      </c>
      <c r="B20" s="32"/>
      <c r="C20" s="32"/>
      <c r="D20" s="32"/>
      <c r="F20" s="32" t="s">
        <v>177</v>
      </c>
      <c r="G20" s="32"/>
      <c r="H20" s="32"/>
      <c r="I20" s="32"/>
    </row>
    <row r="21" spans="1:9" ht="30">
      <c r="A21" s="2" t="s">
        <v>57</v>
      </c>
      <c r="B21" s="2" t="s">
        <v>167</v>
      </c>
      <c r="C21" s="2" t="s">
        <v>12</v>
      </c>
      <c r="D21" s="2" t="s">
        <v>178</v>
      </c>
      <c r="F21" s="2" t="s">
        <v>54</v>
      </c>
      <c r="G21" s="2" t="s">
        <v>167</v>
      </c>
      <c r="H21" s="2" t="s">
        <v>12</v>
      </c>
      <c r="I21" s="2" t="s">
        <v>179</v>
      </c>
    </row>
    <row r="22" spans="1:9">
      <c r="A22" t="s">
        <v>71</v>
      </c>
      <c r="B22" s="5">
        <f>SUMIF('Maintenance Spend Data'!$K$2:$K$55,A22,'Maintenance Spend Data'!$N$2:$N$55)</f>
        <v>292840</v>
      </c>
      <c r="C22" s="5">
        <f>SUMIF('Maintenance Spend Data'!$K$2:$K$55,A22,'Maintenance Spend Data'!$U$2:$U$55)</f>
        <v>12763.699999999999</v>
      </c>
      <c r="D22" s="6">
        <f>IFERROR(B22/$B$4,0)</f>
        <v>0.51305231437681764</v>
      </c>
      <c r="F22" t="s">
        <v>180</v>
      </c>
      <c r="G22" s="5">
        <f>SUMIF('Maintenance Spend Data'!$H$2:$H$55,F22,'Maintenance Spend Data'!$N$2:$N$55)</f>
        <v>136130</v>
      </c>
      <c r="H22" s="5">
        <f>SUMIF('Maintenance Spend Data'!$H$2:$H$55,F22,'Maintenance Spend Data'!$U$2:$U$55)</f>
        <v>7489.2</v>
      </c>
      <c r="I22" s="6">
        <f t="shared" ref="I22:I31" si="2">IFERROR(H22/G22,0)</f>
        <v>5.5015059134650698E-2</v>
      </c>
    </row>
    <row r="23" spans="1:9">
      <c r="A23" t="s">
        <v>82</v>
      </c>
      <c r="B23" s="5">
        <f>SUMIF('Maintenance Spend Data'!$K$2:$K$55,A23,'Maintenance Spend Data'!$N$2:$N$55)</f>
        <v>213730</v>
      </c>
      <c r="C23" s="5">
        <f>SUMIF('Maintenance Spend Data'!$K$2:$K$55,A23,'Maintenance Spend Data'!$U$2:$U$55)</f>
        <v>10462.199999999999</v>
      </c>
      <c r="D23" s="6">
        <f>IFERROR(B23/$B$4,0)</f>
        <v>0.37445250359157645</v>
      </c>
      <c r="F23" t="s">
        <v>181</v>
      </c>
      <c r="G23" s="5">
        <f>SUMIF('Maintenance Spend Data'!$H$2:$H$55,F23,'Maintenance Spend Data'!$N$2:$N$55)</f>
        <v>95130</v>
      </c>
      <c r="H23" s="5">
        <f>SUMIF('Maintenance Spend Data'!$H$2:$H$55,F23,'Maintenance Spend Data'!$U$2:$U$55)</f>
        <v>2599.7999999999997</v>
      </c>
      <c r="I23" s="6">
        <f t="shared" si="2"/>
        <v>2.7328918322295802E-2</v>
      </c>
    </row>
    <row r="24" spans="1:9">
      <c r="A24" t="s">
        <v>95</v>
      </c>
      <c r="B24" s="5">
        <f>SUMIF('Maintenance Spend Data'!$K$2:$K$55,A24,'Maintenance Spend Data'!$N$2:$N$55)</f>
        <v>64210</v>
      </c>
      <c r="C24" s="5">
        <f>SUMIF('Maintenance Spend Data'!$K$2:$K$55,A24,'Maintenance Spend Data'!$U$2:$U$55)</f>
        <v>11019.2</v>
      </c>
      <c r="D24" s="6">
        <f>IFERROR(B24/$B$4,0)</f>
        <v>0.11249518203160587</v>
      </c>
      <c r="F24" t="s">
        <v>182</v>
      </c>
      <c r="G24" s="5">
        <f>SUMIF('Maintenance Spend Data'!$H$2:$H$55,F24,'Maintenance Spend Data'!$N$2:$N$55)</f>
        <v>58480</v>
      </c>
      <c r="H24" s="5">
        <f>SUMIF('Maintenance Spend Data'!$H$2:$H$55,F24,'Maintenance Spend Data'!$U$2:$U$55)</f>
        <v>6041.5999999999995</v>
      </c>
      <c r="I24" s="6">
        <f t="shared" si="2"/>
        <v>0.10331053351573187</v>
      </c>
    </row>
    <row r="25" spans="1:9">
      <c r="F25" t="s">
        <v>183</v>
      </c>
      <c r="G25" s="5">
        <f>SUMIF('Maintenance Spend Data'!$H$2:$H$55,F25,'Maintenance Spend Data'!$N$2:$N$55)</f>
        <v>37820</v>
      </c>
      <c r="H25" s="5">
        <f>SUMIF('Maintenance Spend Data'!$H$2:$H$55,F25,'Maintenance Spend Data'!$U$2:$U$55)</f>
        <v>2720.5</v>
      </c>
      <c r="I25" s="6">
        <f t="shared" si="2"/>
        <v>7.1932839767318874E-2</v>
      </c>
    </row>
    <row r="26" spans="1:9">
      <c r="F26" t="s">
        <v>184</v>
      </c>
      <c r="G26" s="5">
        <f>SUMIF('Maintenance Spend Data'!$H$2:$H$55,F26,'Maintenance Spend Data'!$N$2:$N$55)</f>
        <v>39870</v>
      </c>
      <c r="H26" s="5">
        <f>SUMIF('Maintenance Spend Data'!$H$2:$H$55,F26,'Maintenance Spend Data'!$U$2:$U$55)</f>
        <v>3924.6</v>
      </c>
      <c r="I26" s="6">
        <f t="shared" si="2"/>
        <v>9.8434913468773505E-2</v>
      </c>
    </row>
    <row r="27" spans="1:9">
      <c r="F27" t="s">
        <v>185</v>
      </c>
      <c r="G27" s="5">
        <f>SUMIF('Maintenance Spend Data'!$H$2:$H$55,F27,'Maintenance Spend Data'!$N$2:$N$55)</f>
        <v>31910</v>
      </c>
      <c r="H27" s="5">
        <f>SUMIF('Maintenance Spend Data'!$H$2:$H$55,F27,'Maintenance Spend Data'!$U$2:$U$55)</f>
        <v>0</v>
      </c>
      <c r="I27" s="6">
        <f t="shared" si="2"/>
        <v>0</v>
      </c>
    </row>
    <row r="28" spans="1:9" ht="15">
      <c r="A28" s="32" t="s">
        <v>186</v>
      </c>
      <c r="B28" s="32"/>
      <c r="C28" s="32"/>
      <c r="D28" s="32"/>
      <c r="E28" s="32"/>
      <c r="F28" t="s">
        <v>187</v>
      </c>
      <c r="G28" s="5">
        <f>SUMIF('Maintenance Spend Data'!$H$2:$H$55,F28,'Maintenance Spend Data'!$N$2:$N$55)</f>
        <v>34900</v>
      </c>
      <c r="H28" s="5">
        <f>SUMIF('Maintenance Spend Data'!$H$2:$H$55,F28,'Maintenance Spend Data'!$U$2:$U$55)</f>
        <v>1518</v>
      </c>
      <c r="I28" s="6">
        <f t="shared" si="2"/>
        <v>4.3495702005730656E-2</v>
      </c>
    </row>
    <row r="29" spans="1:9" ht="30">
      <c r="A29" s="2" t="s">
        <v>53</v>
      </c>
      <c r="B29" s="2" t="s">
        <v>188</v>
      </c>
      <c r="C29" s="2" t="s">
        <v>167</v>
      </c>
      <c r="D29" s="2" t="s">
        <v>12</v>
      </c>
      <c r="E29" s="2" t="s">
        <v>189</v>
      </c>
      <c r="F29" t="s">
        <v>190</v>
      </c>
      <c r="G29" s="5">
        <f>SUMIF('Maintenance Spend Data'!$H$2:$H$55,F29,'Maintenance Spend Data'!$N$2:$N$55)</f>
        <v>6300</v>
      </c>
      <c r="H29" s="5">
        <f>SUMIF('Maintenance Spend Data'!$H$2:$H$55,F29,'Maintenance Spend Data'!$U$2:$U$55)</f>
        <v>88</v>
      </c>
      <c r="I29" s="6">
        <f t="shared" si="2"/>
        <v>1.3968253968253968E-2</v>
      </c>
    </row>
    <row r="30" spans="1:9">
      <c r="A30" t="s">
        <v>86</v>
      </c>
      <c r="B30" s="4" t="str">
        <f>IFERROR(VLOOKUP(A30,'Vendor Master'!$A$2:$D$11,3,FALSE),"")</f>
        <v>Yes</v>
      </c>
      <c r="C30" s="5">
        <f>SUMIF('Maintenance Spend Data'!$G$2:$G$55,A30,'Maintenance Spend Data'!$N$2:$N$55)</f>
        <v>136130</v>
      </c>
      <c r="D30" s="5">
        <f>SUMIF('Maintenance Spend Data'!$G$2:$G$55,A30,'Maintenance Spend Data'!$U$2:$U$55)</f>
        <v>7489.2</v>
      </c>
      <c r="E30" s="7">
        <f>IFERROR(VLOOKUP(A30,'Vendor Master'!$A$2:$D$11,4,FALSE),0)</f>
        <v>4.3</v>
      </c>
      <c r="F30" t="s">
        <v>191</v>
      </c>
      <c r="G30" s="5">
        <f>SUMIF('Maintenance Spend Data'!$H$2:$H$55,F30,'Maintenance Spend Data'!$N$2:$N$55)</f>
        <v>34590</v>
      </c>
      <c r="H30" s="5">
        <f>SUMIF('Maintenance Spend Data'!$H$2:$H$55,F30,'Maintenance Spend Data'!$U$2:$U$55)</f>
        <v>2767.2</v>
      </c>
      <c r="I30" s="6">
        <f t="shared" si="2"/>
        <v>0.08</v>
      </c>
    </row>
    <row r="31" spans="1:9">
      <c r="A31" t="s">
        <v>70</v>
      </c>
      <c r="B31" s="4" t="str">
        <f>IFERROR(VLOOKUP(A31,'Vendor Master'!$A$2:$D$11,3,FALSE),"")</f>
        <v>Yes</v>
      </c>
      <c r="C31" s="5">
        <f>SUMIF('Maintenance Spend Data'!$G$2:$G$55,A31,'Maintenance Spend Data'!$N$2:$N$55)</f>
        <v>95130</v>
      </c>
      <c r="D31" s="5">
        <f>SUMIF('Maintenance Spend Data'!$G$2:$G$55,A31,'Maintenance Spend Data'!$U$2:$U$55)</f>
        <v>2599.7999999999997</v>
      </c>
      <c r="E31" s="7">
        <f>IFERROR(VLOOKUP(A31,'Vendor Master'!$A$2:$D$11,4,FALSE),0)</f>
        <v>4.8</v>
      </c>
      <c r="F31" t="s">
        <v>192</v>
      </c>
      <c r="G31" s="5">
        <f>SUMIF('Maintenance Spend Data'!$H$2:$H$55,F31,'Maintenance Spend Data'!$N$2:$N$55)</f>
        <v>95650</v>
      </c>
      <c r="H31" s="5">
        <f>SUMIF('Maintenance Spend Data'!$H$2:$H$55,F31,'Maintenance Spend Data'!$U$2:$U$55)</f>
        <v>7096.2</v>
      </c>
      <c r="I31" s="6">
        <f t="shared" si="2"/>
        <v>7.4189231573444855E-2</v>
      </c>
    </row>
    <row r="32" spans="1:9">
      <c r="A32" t="s">
        <v>78</v>
      </c>
      <c r="B32" s="4" t="str">
        <f>IFERROR(VLOOKUP(A32,'Vendor Master'!$A$2:$D$11,3,FALSE),"")</f>
        <v>No</v>
      </c>
      <c r="C32" s="5">
        <f>SUMIF('Maintenance Spend Data'!$G$2:$G$55,A32,'Maintenance Spend Data'!$N$2:$N$55)</f>
        <v>58480</v>
      </c>
      <c r="D32" s="5">
        <f>SUMIF('Maintenance Spend Data'!$G$2:$G$55,A32,'Maintenance Spend Data'!$U$2:$U$55)</f>
        <v>6041.5999999999995</v>
      </c>
      <c r="E32" s="7">
        <f>IFERROR(VLOOKUP(A32,'Vendor Master'!$A$2:$D$11,4,FALSE),0)</f>
        <v>4.0999999999999996</v>
      </c>
    </row>
    <row r="33" spans="1:5">
      <c r="A33" t="s">
        <v>94</v>
      </c>
      <c r="B33" s="4" t="str">
        <f>IFERROR(VLOOKUP(A33,'Vendor Master'!$A$2:$D$11,3,FALSE),"")</f>
        <v>Yes</v>
      </c>
      <c r="C33" s="5">
        <f>SUMIF('Maintenance Spend Data'!$G$2:$G$55,A33,'Maintenance Spend Data'!$N$2:$N$55)</f>
        <v>37820</v>
      </c>
      <c r="D33" s="5">
        <f>SUMIF('Maintenance Spend Data'!$G$2:$G$55,A33,'Maintenance Spend Data'!$U$2:$U$55)</f>
        <v>2720.5</v>
      </c>
      <c r="E33" s="7">
        <f>IFERROR(VLOOKUP(A33,'Vendor Master'!$A$2:$D$11,4,FALSE),0)</f>
        <v>4.5</v>
      </c>
    </row>
    <row r="34" spans="1:5">
      <c r="A34" t="s">
        <v>117</v>
      </c>
      <c r="B34" s="4" t="str">
        <f>IFERROR(VLOOKUP(A34,'Vendor Master'!$A$2:$D$11,3,FALSE),"")</f>
        <v>Yes</v>
      </c>
      <c r="C34" s="5">
        <f>SUMIF('Maintenance Spend Data'!$G$2:$G$55,A34,'Maintenance Spend Data'!$N$2:$N$55)</f>
        <v>39870</v>
      </c>
      <c r="D34" s="5">
        <f>SUMIF('Maintenance Spend Data'!$G$2:$G$55,A34,'Maintenance Spend Data'!$U$2:$U$55)</f>
        <v>3924.6</v>
      </c>
      <c r="E34" s="7">
        <f>IFERROR(VLOOKUP(A34,'Vendor Master'!$A$2:$D$11,4,FALSE),0)</f>
        <v>4.4000000000000004</v>
      </c>
    </row>
    <row r="35" spans="1:5">
      <c r="A35" t="s">
        <v>105</v>
      </c>
      <c r="B35" s="4" t="str">
        <f>IFERROR(VLOOKUP(A35,'Vendor Master'!$A$2:$D$11,3,FALSE),"")</f>
        <v>Yes</v>
      </c>
      <c r="C35" s="5">
        <f>SUMIF('Maintenance Spend Data'!$G$2:$G$55,A35,'Maintenance Spend Data'!$N$2:$N$55)</f>
        <v>31910</v>
      </c>
      <c r="D35" s="5">
        <f>SUMIF('Maintenance Spend Data'!$G$2:$G$55,A35,'Maintenance Spend Data'!$U$2:$U$55)</f>
        <v>0</v>
      </c>
      <c r="E35" s="7">
        <f>IFERROR(VLOOKUP(A35,'Vendor Master'!$A$2:$D$11,4,FALSE),0)</f>
        <v>4.5999999999999996</v>
      </c>
    </row>
    <row r="36" spans="1:5">
      <c r="A36" t="s">
        <v>90</v>
      </c>
      <c r="B36" s="4" t="str">
        <f>IFERROR(VLOOKUP(A36,'Vendor Master'!$A$2:$D$11,3,FALSE),"")</f>
        <v>Yes</v>
      </c>
      <c r="C36" s="5">
        <f>SUMIF('Maintenance Spend Data'!$G$2:$G$55,A36,'Maintenance Spend Data'!$N$2:$N$55)</f>
        <v>34900</v>
      </c>
      <c r="D36" s="5">
        <f>SUMIF('Maintenance Spend Data'!$G$2:$G$55,A36,'Maintenance Spend Data'!$U$2:$U$55)</f>
        <v>1518</v>
      </c>
      <c r="E36" s="7">
        <f>IFERROR(VLOOKUP(A36,'Vendor Master'!$A$2:$D$11,4,FALSE),0)</f>
        <v>4.9000000000000004</v>
      </c>
    </row>
    <row r="37" spans="1:5">
      <c r="A37" t="s">
        <v>114</v>
      </c>
      <c r="B37" s="4" t="str">
        <f>IFERROR(VLOOKUP(A37,'Vendor Master'!$A$2:$D$11,3,FALSE),"")</f>
        <v>Yes</v>
      </c>
      <c r="C37" s="5">
        <f>SUMIF('Maintenance Spend Data'!$G$2:$G$55,A37,'Maintenance Spend Data'!$N$2:$N$55)</f>
        <v>6300</v>
      </c>
      <c r="D37" s="5">
        <f>SUMIF('Maintenance Spend Data'!$G$2:$G$55,A37,'Maintenance Spend Data'!$U$2:$U$55)</f>
        <v>88</v>
      </c>
      <c r="E37" s="7">
        <f>IFERROR(VLOOKUP(A37,'Vendor Master'!$A$2:$D$11,4,FALSE),0)</f>
        <v>4.5999999999999996</v>
      </c>
    </row>
    <row r="38" spans="1:5">
      <c r="A38" t="s">
        <v>92</v>
      </c>
      <c r="B38" s="4" t="str">
        <f>IFERROR(VLOOKUP(A38,'Vendor Master'!$A$2:$D$11,3,FALSE),"")</f>
        <v>No</v>
      </c>
      <c r="C38" s="5">
        <f>SUMIF('Maintenance Spend Data'!$G$2:$G$55,A38,'Maintenance Spend Data'!$N$2:$N$55)</f>
        <v>34590</v>
      </c>
      <c r="D38" s="5">
        <f>SUMIF('Maintenance Spend Data'!$G$2:$G$55,A38,'Maintenance Spend Data'!$U$2:$U$55)</f>
        <v>2767.2</v>
      </c>
      <c r="E38" s="7">
        <f>IFERROR(VLOOKUP(A38,'Vendor Master'!$A$2:$D$11,4,FALSE),0)</f>
        <v>4.2</v>
      </c>
    </row>
    <row r="39" spans="1:5">
      <c r="A39" t="s">
        <v>110</v>
      </c>
      <c r="B39" s="4" t="str">
        <f>IFERROR(VLOOKUP(A39,'Vendor Master'!$A$2:$D$11,3,FALSE),"")</f>
        <v>Yes</v>
      </c>
      <c r="C39" s="5">
        <f>SUMIF('Maintenance Spend Data'!$G$2:$G$55,A39,'Maintenance Spend Data'!$N$2:$N$55)</f>
        <v>95650</v>
      </c>
      <c r="D39" s="5">
        <f>SUMIF('Maintenance Spend Data'!$G$2:$G$55,A39,'Maintenance Spend Data'!$U$2:$U$55)</f>
        <v>7096.2</v>
      </c>
      <c r="E39" s="7">
        <f>IFERROR(VLOOKUP(A39,'Vendor Master'!$A$2:$D$11,4,FALSE),0)</f>
        <v>4.7</v>
      </c>
    </row>
  </sheetData>
  <mergeCells count="6">
    <mergeCell ref="A28:E28"/>
    <mergeCell ref="A1:H1"/>
    <mergeCell ref="A2:H2"/>
    <mergeCell ref="A9:G9"/>
    <mergeCell ref="A20:D20"/>
    <mergeCell ref="F20:I20"/>
  </mergeCells>
  <conditionalFormatting sqref="E11:E16">
    <cfRule type="cellIs" dxfId="4" priority="1" operator="lessThan">
      <formula>0</formula>
    </cfRule>
  </conditionalFormatting>
  <conditionalFormatting sqref="F11:F16">
    <cfRule type="dataBar" priority="2">
      <dataBar>
        <cfvo type="min"/>
        <cfvo type="max"/>
        <color rgb="FFA02B93"/>
      </dataBar>
    </cfRule>
  </conditionalFormatting>
  <conditionalFormatting sqref="B30:B39">
    <cfRule type="expression" dxfId="3" priority="3">
      <formula>B30="No"</formula>
    </cfRule>
  </conditionalFormatting>
  <conditionalFormatting sqref="F11:F16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{F1C06692-B112-8FBF-B633-94A6E2462F88}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C06692-B112-8FBF-B633-94A6E2462F88}">
            <x14:dataBar>
              <x14:cfvo type="min"/>
              <x14:cfvo type="max"/>
              <x14:negativeFillColor auto="1"/>
              <x14:axisColor auto="1"/>
            </x14:dataBar>
          </x14:cfRule>
          <xm:sqref>F11:F16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showGridLines="0" tabSelected="1" workbookViewId="0">
      <pane ySplit="2" topLeftCell="A15" activePane="bottomLeft" state="frozen"/>
      <selection pane="bottomLeft" activeCell="F29" sqref="F29"/>
    </sheetView>
  </sheetViews>
  <sheetFormatPr baseColWidth="10" defaultColWidth="9" defaultRowHeight="14.25"/>
  <cols>
    <col min="1" max="1" width="28" customWidth="1"/>
    <col min="2" max="2" width="22.125" bestFit="1" customWidth="1"/>
    <col min="3" max="4" width="19" customWidth="1"/>
    <col min="5" max="5" width="12" customWidth="1"/>
    <col min="6" max="6" width="58" customWidth="1"/>
  </cols>
  <sheetData>
    <row r="1" spans="1:6" ht="20.25">
      <c r="A1" s="30" t="s">
        <v>16</v>
      </c>
      <c r="B1" s="30"/>
      <c r="C1" s="30"/>
      <c r="D1" s="30"/>
      <c r="E1" s="30"/>
      <c r="F1" s="30"/>
    </row>
    <row r="2" spans="1:6" ht="33.950000000000003" customHeight="1">
      <c r="A2" s="35" t="s">
        <v>193</v>
      </c>
      <c r="B2" s="35"/>
      <c r="C2" s="35"/>
      <c r="D2" s="35"/>
      <c r="E2" s="35"/>
      <c r="F2" s="35"/>
    </row>
    <row r="4" spans="1:6" ht="30">
      <c r="A4" s="1" t="s">
        <v>194</v>
      </c>
      <c r="B4" s="25">
        <f>SUM('Maintenance Spend Data'!$U$2:$U$55)</f>
        <v>34245.1</v>
      </c>
      <c r="C4" s="26" t="s">
        <v>15</v>
      </c>
      <c r="D4" s="25">
        <f>SUM('Maintenance Spend Data'!$W$2:$W$55)</f>
        <v>68490.2</v>
      </c>
      <c r="E4" s="1" t="s">
        <v>195</v>
      </c>
      <c r="F4" s="27">
        <f>IFERROR(B4/Analysis!$B$4,0)</f>
        <v>5.9997021619538175E-2</v>
      </c>
    </row>
    <row r="7" spans="1:6" ht="15">
      <c r="A7" s="32" t="s">
        <v>196</v>
      </c>
      <c r="B7" s="32"/>
      <c r="C7" s="32"/>
      <c r="D7" s="32"/>
      <c r="E7" s="32"/>
      <c r="F7" s="32"/>
    </row>
    <row r="8" spans="1:6" ht="45">
      <c r="A8" s="2" t="s">
        <v>65</v>
      </c>
      <c r="B8" s="2" t="s">
        <v>197</v>
      </c>
      <c r="C8" s="2" t="s">
        <v>12</v>
      </c>
      <c r="D8" s="2" t="s">
        <v>15</v>
      </c>
      <c r="E8" s="2" t="s">
        <v>198</v>
      </c>
      <c r="F8" s="2" t="s">
        <v>199</v>
      </c>
    </row>
    <row r="9" spans="1:6" ht="28.5">
      <c r="A9" t="s">
        <v>98</v>
      </c>
      <c r="B9" s="5">
        <f>SUMIF('Maintenance Spend Data'!$S$2:$S$55,A9,'Maintenance Spend Data'!$N$2:$N$55)</f>
        <v>51190</v>
      </c>
      <c r="C9" s="5">
        <f>SUMIF('Maintenance Spend Data'!$S$2:$S$55,A9,'Maintenance Spend Data'!$U$2:$U$55)</f>
        <v>10238</v>
      </c>
      <c r="D9" s="5">
        <f>SUMIF('Maintenance Spend Data'!$S$2:$S$55,A9,'Maintenance Spend Data'!$W$2:$W$55)</f>
        <v>20476</v>
      </c>
      <c r="E9" s="4">
        <f>COUNTIF('Maintenance Spend Data'!$S$2:$S$55,A9)</f>
        <v>6</v>
      </c>
      <c r="F9" s="18" t="s">
        <v>200</v>
      </c>
    </row>
    <row r="10" spans="1:6">
      <c r="A10" t="s">
        <v>79</v>
      </c>
      <c r="B10" s="5">
        <f>SUMIF('Maintenance Spend Data'!$S$2:$S$55,A10,'Maintenance Spend Data'!$N$2:$N$55)</f>
        <v>81710</v>
      </c>
      <c r="C10" s="5">
        <f>SUMIF('Maintenance Spend Data'!$S$2:$S$55,A10,'Maintenance Spend Data'!$U$2:$U$55)</f>
        <v>6536.8</v>
      </c>
      <c r="D10" s="5">
        <f>SUMIF('Maintenance Spend Data'!$S$2:$S$55,A10,'Maintenance Spend Data'!$W$2:$W$55)</f>
        <v>13073.6</v>
      </c>
      <c r="E10" s="4">
        <f>COUNTIF('Maintenance Spend Data'!$S$2:$S$55,A10)</f>
        <v>10</v>
      </c>
      <c r="F10" s="18" t="s">
        <v>201</v>
      </c>
    </row>
    <row r="11" spans="1:6" ht="28.5">
      <c r="A11" t="s">
        <v>130</v>
      </c>
      <c r="B11" s="5">
        <f>SUMIF('Maintenance Spend Data'!$S$2:$S$55,A11,'Maintenance Spend Data'!$N$2:$N$55)</f>
        <v>22410</v>
      </c>
      <c r="C11" s="5">
        <f>SUMIF('Maintenance Spend Data'!$S$2:$S$55,A11,'Maintenance Spend Data'!$U$2:$U$55)</f>
        <v>1120.5</v>
      </c>
      <c r="D11" s="5">
        <f>SUMIF('Maintenance Spend Data'!$S$2:$S$55,A11,'Maintenance Spend Data'!$W$2:$W$55)</f>
        <v>2241</v>
      </c>
      <c r="E11" s="4">
        <f>COUNTIF('Maintenance Spend Data'!$S$2:$S$55,A11)</f>
        <v>4</v>
      </c>
      <c r="F11" s="18" t="s">
        <v>202</v>
      </c>
    </row>
    <row r="12" spans="1:6">
      <c r="A12" t="s">
        <v>107</v>
      </c>
      <c r="B12" s="5">
        <f>SUMIF('Maintenance Spend Data'!$S$2:$S$55,A12,'Maintenance Spend Data'!$N$2:$N$55)</f>
        <v>70960</v>
      </c>
      <c r="C12" s="5">
        <f>SUMIF('Maintenance Spend Data'!$S$2:$S$55,A12,'Maintenance Spend Data'!$U$2:$U$55)</f>
        <v>7096</v>
      </c>
      <c r="D12" s="5">
        <f>SUMIF('Maintenance Spend Data'!$S$2:$S$55,A12,'Maintenance Spend Data'!$W$2:$W$55)</f>
        <v>14192</v>
      </c>
      <c r="E12" s="4">
        <f>COUNTIF('Maintenance Spend Data'!$S$2:$S$55,A12)</f>
        <v>4</v>
      </c>
      <c r="F12" s="18" t="s">
        <v>203</v>
      </c>
    </row>
    <row r="13" spans="1:6">
      <c r="A13" t="s">
        <v>102</v>
      </c>
      <c r="B13" s="5">
        <f>SUMIF('Maintenance Spend Data'!$S$2:$S$55,A13,'Maintenance Spend Data'!$N$2:$N$55)</f>
        <v>154230</v>
      </c>
      <c r="C13" s="5">
        <f>SUMIF('Maintenance Spend Data'!$S$2:$S$55,A13,'Maintenance Spend Data'!$U$2:$U$55)</f>
        <v>9253.8000000000011</v>
      </c>
      <c r="D13" s="5">
        <f>SUMIF('Maintenance Spend Data'!$S$2:$S$55,A13,'Maintenance Spend Data'!$W$2:$W$55)</f>
        <v>18507.600000000002</v>
      </c>
      <c r="E13" s="4">
        <f>COUNTIF('Maintenance Spend Data'!$S$2:$S$55,A13)</f>
        <v>10</v>
      </c>
      <c r="F13" s="18" t="s">
        <v>204</v>
      </c>
    </row>
    <row r="14" spans="1:6">
      <c r="A14" t="s">
        <v>75</v>
      </c>
      <c r="B14" s="5">
        <f>SUMIF('Maintenance Spend Data'!$S$2:$S$55,A14,'Maintenance Spend Data'!$N$2:$N$55)</f>
        <v>190280</v>
      </c>
      <c r="C14" s="5">
        <f>SUMIF('Maintenance Spend Data'!$S$2:$S$55,A14,'Maintenance Spend Data'!$U$2:$U$55)</f>
        <v>0</v>
      </c>
      <c r="D14" s="5">
        <f>SUMIF('Maintenance Spend Data'!$S$2:$S$55,A14,'Maintenance Spend Data'!$W$2:$W$55)</f>
        <v>0</v>
      </c>
      <c r="E14" s="4">
        <f>COUNTIF('Maintenance Spend Data'!$S$2:$S$55,A14)</f>
        <v>20</v>
      </c>
      <c r="F14" s="18" t="s">
        <v>205</v>
      </c>
    </row>
    <row r="17" spans="1:6" ht="15">
      <c r="A17" s="32" t="s">
        <v>206</v>
      </c>
      <c r="B17" s="32"/>
      <c r="C17" s="32"/>
      <c r="D17" s="32"/>
      <c r="E17" s="32"/>
      <c r="F17" s="32"/>
    </row>
    <row r="18" spans="1:6" ht="30">
      <c r="A18" s="2" t="s">
        <v>53</v>
      </c>
      <c r="B18" s="2" t="s">
        <v>188</v>
      </c>
      <c r="C18" s="2" t="s">
        <v>167</v>
      </c>
      <c r="D18" s="2" t="s">
        <v>12</v>
      </c>
      <c r="E18" s="2" t="s">
        <v>189</v>
      </c>
      <c r="F18" s="2" t="s">
        <v>207</v>
      </c>
    </row>
    <row r="19" spans="1:6" ht="28.5">
      <c r="A19" t="s">
        <v>86</v>
      </c>
      <c r="B19" s="4" t="str">
        <f>IFERROR(VLOOKUP(A19,'Vendor Master'!$A$2:$D$11,3,FALSE),"")</f>
        <v>Yes</v>
      </c>
      <c r="C19" s="5">
        <f>SUMIF('Maintenance Spend Data'!$G$2:$G$55,A19,'Maintenance Spend Data'!$N$2:$N$55)</f>
        <v>136130</v>
      </c>
      <c r="D19" s="5">
        <f>SUMIF('Maintenance Spend Data'!$G$2:$G$55,A19,'Maintenance Spend Data'!$U$2:$U$55)</f>
        <v>7489.2</v>
      </c>
      <c r="E19" s="7">
        <f>IFERROR(VLOOKUP(A19,'Vendor Master'!$A$2:$D$11,4,FALSE),0)</f>
        <v>4.3</v>
      </c>
      <c r="F19" s="18" t="s">
        <v>208</v>
      </c>
    </row>
    <row r="20" spans="1:6" ht="28.5">
      <c r="A20" t="s">
        <v>70</v>
      </c>
      <c r="B20" s="4" t="str">
        <f>IFERROR(VLOOKUP(A20,'Vendor Master'!$A$2:$D$11,3,FALSE),"")</f>
        <v>Yes</v>
      </c>
      <c r="C20" s="5">
        <f>SUMIF('Maintenance Spend Data'!$G$2:$G$55,A20,'Maintenance Spend Data'!$N$2:$N$55)</f>
        <v>95130</v>
      </c>
      <c r="D20" s="5">
        <f>SUMIF('Maintenance Spend Data'!$G$2:$G$55,A20,'Maintenance Spend Data'!$U$2:$U$55)</f>
        <v>2599.7999999999997</v>
      </c>
      <c r="E20" s="7">
        <f>IFERROR(VLOOKUP(A20,'Vendor Master'!$A$2:$D$11,4,FALSE),0)</f>
        <v>4.8</v>
      </c>
      <c r="F20" s="18" t="s">
        <v>209</v>
      </c>
    </row>
    <row r="21" spans="1:6" ht="28.5">
      <c r="A21" t="s">
        <v>78</v>
      </c>
      <c r="B21" s="4" t="str">
        <f>IFERROR(VLOOKUP(A21,'Vendor Master'!$A$2:$D$11,3,FALSE),"")</f>
        <v>No</v>
      </c>
      <c r="C21" s="5">
        <f>SUMIF('Maintenance Spend Data'!$G$2:$G$55,A21,'Maintenance Spend Data'!$N$2:$N$55)</f>
        <v>58480</v>
      </c>
      <c r="D21" s="5">
        <f>SUMIF('Maintenance Spend Data'!$G$2:$G$55,A21,'Maintenance Spend Data'!$U$2:$U$55)</f>
        <v>6041.5999999999995</v>
      </c>
      <c r="E21" s="7">
        <f>IFERROR(VLOOKUP(A21,'Vendor Master'!$A$2:$D$11,4,FALSE),0)</f>
        <v>4.0999999999999996</v>
      </c>
      <c r="F21" s="18" t="s">
        <v>210</v>
      </c>
    </row>
    <row r="22" spans="1:6" ht="28.5">
      <c r="A22" t="s">
        <v>94</v>
      </c>
      <c r="B22" s="4" t="str">
        <f>IFERROR(VLOOKUP(A22,'Vendor Master'!$A$2:$D$11,3,FALSE),"")</f>
        <v>Yes</v>
      </c>
      <c r="C22" s="5">
        <f>SUMIF('Maintenance Spend Data'!$G$2:$G$55,A22,'Maintenance Spend Data'!$N$2:$N$55)</f>
        <v>37820</v>
      </c>
      <c r="D22" s="5">
        <f>SUMIF('Maintenance Spend Data'!$G$2:$G$55,A22,'Maintenance Spend Data'!$U$2:$U$55)</f>
        <v>2720.5</v>
      </c>
      <c r="E22" s="7">
        <f>IFERROR(VLOOKUP(A22,'Vendor Master'!$A$2:$D$11,4,FALSE),0)</f>
        <v>4.5</v>
      </c>
      <c r="F22" s="18" t="s">
        <v>209</v>
      </c>
    </row>
    <row r="23" spans="1:6" ht="28.5">
      <c r="A23" t="s">
        <v>117</v>
      </c>
      <c r="B23" s="4" t="str">
        <f>IFERROR(VLOOKUP(A23,'Vendor Master'!$A$2:$D$11,3,FALSE),"")</f>
        <v>Yes</v>
      </c>
      <c r="C23" s="5">
        <f>SUMIF('Maintenance Spend Data'!$G$2:$G$55,A23,'Maintenance Spend Data'!$N$2:$N$55)</f>
        <v>39870</v>
      </c>
      <c r="D23" s="5">
        <f>SUMIF('Maintenance Spend Data'!$G$2:$G$55,A23,'Maintenance Spend Data'!$U$2:$U$55)</f>
        <v>3924.6</v>
      </c>
      <c r="E23" s="7">
        <f>IFERROR(VLOOKUP(A23,'Vendor Master'!$A$2:$D$11,4,FALSE),0)</f>
        <v>4.4000000000000004</v>
      </c>
      <c r="F23" s="18" t="s">
        <v>208</v>
      </c>
    </row>
    <row r="24" spans="1:6" ht="28.5">
      <c r="A24" t="s">
        <v>105</v>
      </c>
      <c r="B24" s="4" t="str">
        <f>IFERROR(VLOOKUP(A24,'Vendor Master'!$A$2:$D$11,3,FALSE),"")</f>
        <v>Yes</v>
      </c>
      <c r="C24" s="5">
        <f>SUMIF('Maintenance Spend Data'!$G$2:$G$55,A24,'Maintenance Spend Data'!$N$2:$N$55)</f>
        <v>31910</v>
      </c>
      <c r="D24" s="5">
        <f>SUMIF('Maintenance Spend Data'!$G$2:$G$55,A24,'Maintenance Spend Data'!$U$2:$U$55)</f>
        <v>0</v>
      </c>
      <c r="E24" s="7">
        <f>IFERROR(VLOOKUP(A24,'Vendor Master'!$A$2:$D$11,4,FALSE),0)</f>
        <v>4.5999999999999996</v>
      </c>
      <c r="F24" s="18" t="s">
        <v>209</v>
      </c>
    </row>
    <row r="25" spans="1:6" ht="28.5">
      <c r="A25" t="s">
        <v>90</v>
      </c>
      <c r="B25" s="4" t="str">
        <f>IFERROR(VLOOKUP(A25,'Vendor Master'!$A$2:$D$11,3,FALSE),"")</f>
        <v>Yes</v>
      </c>
      <c r="C25" s="5">
        <f>SUMIF('Maintenance Spend Data'!$G$2:$G$55,A25,'Maintenance Spend Data'!$N$2:$N$55)</f>
        <v>34900</v>
      </c>
      <c r="D25" s="5">
        <f>SUMIF('Maintenance Spend Data'!$G$2:$G$55,A25,'Maintenance Spend Data'!$U$2:$U$55)</f>
        <v>1518</v>
      </c>
      <c r="E25" s="7">
        <f>IFERROR(VLOOKUP(A25,'Vendor Master'!$A$2:$D$11,4,FALSE),0)</f>
        <v>4.9000000000000004</v>
      </c>
      <c r="F25" s="18" t="s">
        <v>209</v>
      </c>
    </row>
    <row r="26" spans="1:6" ht="28.5">
      <c r="A26" t="s">
        <v>114</v>
      </c>
      <c r="B26" s="4" t="str">
        <f>IFERROR(VLOOKUP(A26,'Vendor Master'!$A$2:$D$11,3,FALSE),"")</f>
        <v>Yes</v>
      </c>
      <c r="C26" s="5">
        <f>SUMIF('Maintenance Spend Data'!$G$2:$G$55,A26,'Maintenance Spend Data'!$N$2:$N$55)</f>
        <v>6300</v>
      </c>
      <c r="D26" s="5">
        <f>SUMIF('Maintenance Spend Data'!$G$2:$G$55,A26,'Maintenance Spend Data'!$U$2:$U$55)</f>
        <v>88</v>
      </c>
      <c r="E26" s="7">
        <f>IFERROR(VLOOKUP(A26,'Vendor Master'!$A$2:$D$11,4,FALSE),0)</f>
        <v>4.5999999999999996</v>
      </c>
      <c r="F26" s="18" t="s">
        <v>209</v>
      </c>
    </row>
    <row r="27" spans="1:6" ht="28.5">
      <c r="A27" t="s">
        <v>92</v>
      </c>
      <c r="B27" s="4" t="str">
        <f>IFERROR(VLOOKUP(A27,'Vendor Master'!$A$2:$D$11,3,FALSE),"")</f>
        <v>No</v>
      </c>
      <c r="C27" s="5">
        <f>SUMIF('Maintenance Spend Data'!$G$2:$G$55,A27,'Maintenance Spend Data'!$N$2:$N$55)</f>
        <v>34590</v>
      </c>
      <c r="D27" s="5">
        <f>SUMIF('Maintenance Spend Data'!$G$2:$G$55,A27,'Maintenance Spend Data'!$U$2:$U$55)</f>
        <v>2767.2</v>
      </c>
      <c r="E27" s="7">
        <f>IFERROR(VLOOKUP(A27,'Vendor Master'!$A$2:$D$11,4,FALSE),0)</f>
        <v>4.2</v>
      </c>
      <c r="F27" s="18" t="s">
        <v>210</v>
      </c>
    </row>
    <row r="28" spans="1:6" ht="28.5">
      <c r="A28" t="s">
        <v>110</v>
      </c>
      <c r="B28" s="4" t="str">
        <f>IFERROR(VLOOKUP(A28,'Vendor Master'!$A$2:$D$11,3,FALSE),"")</f>
        <v>Yes</v>
      </c>
      <c r="C28" s="5">
        <f>SUMIF('Maintenance Spend Data'!$G$2:$G$55,A28,'Maintenance Spend Data'!$N$2:$N$55)</f>
        <v>95650</v>
      </c>
      <c r="D28" s="5">
        <f>SUMIF('Maintenance Spend Data'!$G$2:$G$55,A28,'Maintenance Spend Data'!$U$2:$U$55)</f>
        <v>7096.2</v>
      </c>
      <c r="E28" s="7">
        <f>IFERROR(VLOOKUP(A28,'Vendor Master'!$A$2:$D$11,4,FALSE),0)</f>
        <v>4.7</v>
      </c>
      <c r="F28" s="18" t="s">
        <v>209</v>
      </c>
    </row>
    <row r="31" spans="1:6" ht="18" customHeight="1">
      <c r="A31" s="37" t="s">
        <v>287</v>
      </c>
      <c r="B31" s="37"/>
      <c r="C31" s="37"/>
      <c r="D31" s="37"/>
      <c r="E31" s="37"/>
    </row>
    <row r="32" spans="1:6" ht="4.5" customHeight="1"/>
    <row r="33" spans="1:5" ht="30">
      <c r="A33" s="2" t="s">
        <v>58</v>
      </c>
      <c r="B33" s="2" t="s">
        <v>288</v>
      </c>
      <c r="C33" s="2" t="s">
        <v>199</v>
      </c>
      <c r="D33" s="2" t="s">
        <v>289</v>
      </c>
      <c r="E33" s="2"/>
    </row>
    <row r="34" spans="1:5" ht="33" customHeight="1">
      <c r="A34" s="38">
        <v>1</v>
      </c>
      <c r="B34" s="38" t="s">
        <v>290</v>
      </c>
      <c r="C34" s="39" t="s">
        <v>292</v>
      </c>
      <c r="D34" s="39"/>
      <c r="E34" s="40" t="s">
        <v>293</v>
      </c>
    </row>
    <row r="35" spans="1:5" ht="31.5" customHeight="1">
      <c r="A35" s="38">
        <v>2</v>
      </c>
      <c r="B35" s="38" t="s">
        <v>291</v>
      </c>
      <c r="C35" s="39" t="s">
        <v>294</v>
      </c>
      <c r="D35" s="39"/>
      <c r="E35" s="40" t="s">
        <v>295</v>
      </c>
    </row>
    <row r="36" spans="1:5" ht="32.25" customHeight="1">
      <c r="A36" s="38">
        <v>3</v>
      </c>
      <c r="B36" s="38" t="s">
        <v>107</v>
      </c>
      <c r="C36" s="41" t="s">
        <v>297</v>
      </c>
      <c r="D36" s="41"/>
      <c r="E36" s="40" t="s">
        <v>296</v>
      </c>
    </row>
    <row r="37" spans="1:5">
      <c r="A37" s="36"/>
    </row>
    <row r="38" spans="1:5" ht="37.5" customHeight="1">
      <c r="A38" s="42"/>
      <c r="B38" s="42"/>
      <c r="C38" s="42"/>
      <c r="D38" s="42"/>
      <c r="E38" s="42"/>
    </row>
  </sheetData>
  <mergeCells count="9">
    <mergeCell ref="C35:D35"/>
    <mergeCell ref="C36:D36"/>
    <mergeCell ref="A38:E38"/>
    <mergeCell ref="A31:E31"/>
    <mergeCell ref="A1:F1"/>
    <mergeCell ref="A2:F2"/>
    <mergeCell ref="A7:F7"/>
    <mergeCell ref="A17:F17"/>
    <mergeCell ref="C34:D34"/>
  </mergeCells>
  <conditionalFormatting sqref="C9:C14">
    <cfRule type="dataBar" priority="1">
      <dataBar>
        <cfvo type="min"/>
        <cfvo type="max"/>
        <color rgb="FFA02B93"/>
      </dataBar>
    </cfRule>
  </conditionalFormatting>
  <conditionalFormatting sqref="B19:B28">
    <cfRule type="expression" dxfId="2" priority="2">
      <formula>B19="No"</formula>
    </cfRule>
  </conditionalFormatting>
  <conditionalFormatting sqref="C9:C14"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{79E258D1-5AD7-FD71-DE5F-EB12D7880078}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E258D1-5AD7-FD71-DE5F-EB12D7880078}">
            <x14:dataBar>
              <x14:cfvo type="min"/>
              <x14:cfvo type="max"/>
              <x14:negativeFillColor auto="1"/>
              <x14:axisColor auto="1"/>
            </x14:dataBar>
          </x14:cfRule>
          <xm:sqref>C9:C14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28" customWidth="1"/>
    <col min="2" max="2" width="22" customWidth="1"/>
    <col min="3" max="3" width="16" customWidth="1"/>
    <col min="4" max="4" width="10" customWidth="1"/>
    <col min="5" max="5" width="16" customWidth="1"/>
    <col min="6" max="7" width="18" customWidth="1"/>
    <col min="8" max="8" width="34" customWidth="1"/>
  </cols>
  <sheetData>
    <row r="1" spans="1:8" ht="30">
      <c r="A1" s="2" t="s">
        <v>211</v>
      </c>
      <c r="B1" s="2" t="s">
        <v>212</v>
      </c>
      <c r="C1" s="2" t="s">
        <v>55</v>
      </c>
      <c r="D1" s="2" t="s">
        <v>189</v>
      </c>
      <c r="E1" s="2" t="s">
        <v>213</v>
      </c>
      <c r="F1" s="2" t="s">
        <v>214</v>
      </c>
      <c r="G1" s="2" t="s">
        <v>215</v>
      </c>
      <c r="H1" s="2" t="s">
        <v>216</v>
      </c>
    </row>
    <row r="2" spans="1:8">
      <c r="A2" s="8" t="s">
        <v>86</v>
      </c>
      <c r="B2" s="8" t="s">
        <v>180</v>
      </c>
      <c r="C2" s="8" t="s">
        <v>97</v>
      </c>
      <c r="D2" s="20">
        <v>4.3</v>
      </c>
      <c r="E2" s="8" t="s">
        <v>217</v>
      </c>
      <c r="F2" s="9">
        <v>46477</v>
      </c>
      <c r="G2" s="9">
        <v>46644</v>
      </c>
      <c r="H2" s="8" t="s">
        <v>218</v>
      </c>
    </row>
    <row r="3" spans="1:8">
      <c r="A3" s="8" t="s">
        <v>70</v>
      </c>
      <c r="B3" s="8" t="s">
        <v>181</v>
      </c>
      <c r="C3" s="8" t="s">
        <v>97</v>
      </c>
      <c r="D3" s="20">
        <v>4.8</v>
      </c>
      <c r="E3" s="8" t="s">
        <v>217</v>
      </c>
      <c r="F3" s="9">
        <v>46752</v>
      </c>
      <c r="G3" s="9">
        <v>46477</v>
      </c>
      <c r="H3" s="8" t="s">
        <v>218</v>
      </c>
    </row>
    <row r="4" spans="1:8">
      <c r="A4" s="8" t="s">
        <v>78</v>
      </c>
      <c r="B4" s="8" t="s">
        <v>182</v>
      </c>
      <c r="C4" s="8" t="s">
        <v>123</v>
      </c>
      <c r="D4" s="20">
        <v>4.0999999999999996</v>
      </c>
      <c r="E4" s="8" t="s">
        <v>217</v>
      </c>
      <c r="F4" s="9">
        <v>46568</v>
      </c>
      <c r="G4" s="9">
        <v>46356</v>
      </c>
      <c r="H4" s="8" t="s">
        <v>218</v>
      </c>
    </row>
    <row r="5" spans="1:8">
      <c r="A5" s="8" t="s">
        <v>94</v>
      </c>
      <c r="B5" s="8" t="s">
        <v>183</v>
      </c>
      <c r="C5" s="8" t="s">
        <v>97</v>
      </c>
      <c r="D5" s="20">
        <v>4.5</v>
      </c>
      <c r="E5" s="8" t="s">
        <v>217</v>
      </c>
      <c r="F5" s="9">
        <v>46752</v>
      </c>
      <c r="G5" s="9">
        <v>46446</v>
      </c>
      <c r="H5" s="8" t="s">
        <v>218</v>
      </c>
    </row>
    <row r="6" spans="1:8">
      <c r="A6" s="8" t="s">
        <v>117</v>
      </c>
      <c r="B6" s="8" t="s">
        <v>184</v>
      </c>
      <c r="C6" s="8" t="s">
        <v>97</v>
      </c>
      <c r="D6" s="20">
        <v>4.4000000000000004</v>
      </c>
      <c r="E6" s="8" t="s">
        <v>217</v>
      </c>
      <c r="F6" s="9">
        <v>46340</v>
      </c>
      <c r="G6" s="9">
        <v>46387</v>
      </c>
      <c r="H6" s="8" t="s">
        <v>218</v>
      </c>
    </row>
    <row r="7" spans="1:8">
      <c r="A7" s="8" t="s">
        <v>105</v>
      </c>
      <c r="B7" s="8" t="s">
        <v>185</v>
      </c>
      <c r="C7" s="8" t="s">
        <v>97</v>
      </c>
      <c r="D7" s="20">
        <v>4.5999999999999996</v>
      </c>
      <c r="E7" s="8" t="s">
        <v>217</v>
      </c>
      <c r="F7" s="9">
        <v>46477</v>
      </c>
      <c r="G7" s="9">
        <v>46402</v>
      </c>
      <c r="H7" s="8" t="s">
        <v>218</v>
      </c>
    </row>
    <row r="8" spans="1:8">
      <c r="A8" s="8" t="s">
        <v>90</v>
      </c>
      <c r="B8" s="8" t="s">
        <v>187</v>
      </c>
      <c r="C8" s="8" t="s">
        <v>97</v>
      </c>
      <c r="D8" s="20">
        <v>4.9000000000000004</v>
      </c>
      <c r="E8" s="8" t="s">
        <v>217</v>
      </c>
      <c r="F8" s="9">
        <v>46387</v>
      </c>
      <c r="G8" s="9">
        <v>46609</v>
      </c>
      <c r="H8" s="8" t="s">
        <v>218</v>
      </c>
    </row>
    <row r="9" spans="1:8">
      <c r="A9" s="8" t="s">
        <v>114</v>
      </c>
      <c r="B9" s="8" t="s">
        <v>190</v>
      </c>
      <c r="C9" s="8" t="s">
        <v>97</v>
      </c>
      <c r="D9" s="20">
        <v>4.5999999999999996</v>
      </c>
      <c r="E9" s="8" t="s">
        <v>217</v>
      </c>
      <c r="F9" s="9">
        <v>46568</v>
      </c>
      <c r="G9" s="9">
        <v>46495</v>
      </c>
      <c r="H9" s="8" t="s">
        <v>218</v>
      </c>
    </row>
    <row r="10" spans="1:8">
      <c r="A10" s="8" t="s">
        <v>92</v>
      </c>
      <c r="B10" s="8" t="s">
        <v>191</v>
      </c>
      <c r="C10" s="8" t="s">
        <v>123</v>
      </c>
      <c r="D10" s="20">
        <v>4.2</v>
      </c>
      <c r="E10" s="8" t="s">
        <v>219</v>
      </c>
      <c r="F10" s="9">
        <v>46477</v>
      </c>
      <c r="G10" s="9">
        <v>46539</v>
      </c>
      <c r="H10" s="8" t="s">
        <v>218</v>
      </c>
    </row>
    <row r="11" spans="1:8">
      <c r="A11" s="8" t="s">
        <v>110</v>
      </c>
      <c r="B11" s="8" t="s">
        <v>192</v>
      </c>
      <c r="C11" s="8" t="s">
        <v>97</v>
      </c>
      <c r="D11" s="20">
        <v>4.7</v>
      </c>
      <c r="E11" s="8" t="s">
        <v>217</v>
      </c>
      <c r="F11" s="9">
        <v>46752</v>
      </c>
      <c r="G11" s="9">
        <v>46527</v>
      </c>
      <c r="H11" s="8" t="s">
        <v>218</v>
      </c>
    </row>
  </sheetData>
  <conditionalFormatting sqref="C2:C11">
    <cfRule type="expression" dxfId="1" priority="1">
      <formula>C2="No"</formula>
    </cfRule>
  </conditionalFormatting>
  <conditionalFormatting sqref="E2:E11">
    <cfRule type="expression" dxfId="0" priority="2">
      <formula>E2&lt;&gt;"Active"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0" customWidth="1"/>
    <col min="2" max="2" width="25" customWidth="1"/>
    <col min="3" max="3" width="14" customWidth="1"/>
    <col min="4" max="4" width="16" customWidth="1"/>
    <col min="5" max="5" width="8" customWidth="1"/>
    <col min="6" max="6" width="10" customWidth="1"/>
    <col min="7" max="7" width="14" customWidth="1"/>
    <col min="8" max="8" width="24" customWidth="1"/>
    <col min="9" max="9" width="18" customWidth="1"/>
    <col min="10" max="10" width="20" customWidth="1"/>
    <col min="11" max="11" width="34" customWidth="1"/>
  </cols>
  <sheetData>
    <row r="1" spans="1:11" ht="30">
      <c r="A1" s="2" t="s">
        <v>50</v>
      </c>
      <c r="B1" s="2" t="s">
        <v>51</v>
      </c>
      <c r="C1" s="2" t="s">
        <v>52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213</v>
      </c>
      <c r="J1" s="2" t="s">
        <v>225</v>
      </c>
      <c r="K1" s="2" t="s">
        <v>216</v>
      </c>
    </row>
    <row r="2" spans="1:11">
      <c r="A2" s="8">
        <v>1</v>
      </c>
      <c r="B2" s="8" t="s">
        <v>170</v>
      </c>
      <c r="C2" s="8" t="s">
        <v>226</v>
      </c>
      <c r="D2" s="8" t="s">
        <v>227</v>
      </c>
      <c r="E2" s="8" t="s">
        <v>228</v>
      </c>
      <c r="F2" s="19">
        <v>148</v>
      </c>
      <c r="G2" s="19">
        <v>168000</v>
      </c>
      <c r="H2" s="13">
        <v>285000</v>
      </c>
      <c r="I2" s="8" t="s">
        <v>217</v>
      </c>
      <c r="J2" s="8" t="s">
        <v>229</v>
      </c>
      <c r="K2" s="8" t="s">
        <v>218</v>
      </c>
    </row>
    <row r="3" spans="1:11">
      <c r="A3" s="8">
        <v>2</v>
      </c>
      <c r="B3" s="8" t="s">
        <v>171</v>
      </c>
      <c r="C3" s="8" t="s">
        <v>230</v>
      </c>
      <c r="D3" s="8" t="s">
        <v>231</v>
      </c>
      <c r="E3" s="8" t="s">
        <v>228</v>
      </c>
      <c r="F3" s="19">
        <v>0</v>
      </c>
      <c r="G3" s="19">
        <v>92000</v>
      </c>
      <c r="H3" s="13">
        <v>196000</v>
      </c>
      <c r="I3" s="8" t="s">
        <v>217</v>
      </c>
      <c r="J3" s="8" t="s">
        <v>232</v>
      </c>
      <c r="K3" s="8" t="s">
        <v>218</v>
      </c>
    </row>
    <row r="4" spans="1:11">
      <c r="A4" s="8">
        <v>3</v>
      </c>
      <c r="B4" s="8" t="s">
        <v>172</v>
      </c>
      <c r="C4" s="8" t="s">
        <v>233</v>
      </c>
      <c r="D4" s="8" t="s">
        <v>234</v>
      </c>
      <c r="E4" s="8" t="s">
        <v>228</v>
      </c>
      <c r="F4" s="19">
        <v>22</v>
      </c>
      <c r="G4" s="19">
        <v>76000</v>
      </c>
      <c r="H4" s="13">
        <v>172000</v>
      </c>
      <c r="I4" s="8" t="s">
        <v>217</v>
      </c>
      <c r="J4" s="8" t="s">
        <v>235</v>
      </c>
      <c r="K4" s="8" t="s">
        <v>218</v>
      </c>
    </row>
    <row r="5" spans="1:11">
      <c r="A5" s="8">
        <v>4</v>
      </c>
      <c r="B5" s="8" t="s">
        <v>173</v>
      </c>
      <c r="C5" s="8" t="s">
        <v>226</v>
      </c>
      <c r="D5" s="8" t="s">
        <v>236</v>
      </c>
      <c r="E5" s="8" t="s">
        <v>228</v>
      </c>
      <c r="F5" s="19">
        <v>204</v>
      </c>
      <c r="G5" s="19">
        <v>231000</v>
      </c>
      <c r="H5" s="13">
        <v>348000</v>
      </c>
      <c r="I5" s="8" t="s">
        <v>217</v>
      </c>
      <c r="J5" s="8" t="s">
        <v>237</v>
      </c>
      <c r="K5" s="8" t="s">
        <v>218</v>
      </c>
    </row>
    <row r="6" spans="1:11">
      <c r="A6" s="8">
        <v>5</v>
      </c>
      <c r="B6" s="8" t="s">
        <v>174</v>
      </c>
      <c r="C6" s="8" t="s">
        <v>238</v>
      </c>
      <c r="D6" s="8" t="s">
        <v>239</v>
      </c>
      <c r="E6" s="8" t="s">
        <v>228</v>
      </c>
      <c r="F6" s="19">
        <v>64</v>
      </c>
      <c r="G6" s="19">
        <v>124000</v>
      </c>
      <c r="H6" s="13">
        <v>238000</v>
      </c>
      <c r="I6" s="8" t="s">
        <v>240</v>
      </c>
      <c r="J6" s="8" t="s">
        <v>241</v>
      </c>
      <c r="K6" s="8" t="s">
        <v>218</v>
      </c>
    </row>
    <row r="7" spans="1:11">
      <c r="A7" s="8">
        <v>6</v>
      </c>
      <c r="B7" s="8" t="s">
        <v>175</v>
      </c>
      <c r="C7" s="8" t="s">
        <v>230</v>
      </c>
      <c r="D7" s="8" t="s">
        <v>242</v>
      </c>
      <c r="E7" s="8" t="s">
        <v>228</v>
      </c>
      <c r="F7" s="19">
        <v>0</v>
      </c>
      <c r="G7" s="19">
        <v>111000</v>
      </c>
      <c r="H7" s="13">
        <v>214000</v>
      </c>
      <c r="I7" s="8" t="s">
        <v>217</v>
      </c>
      <c r="J7" s="8" t="s">
        <v>243</v>
      </c>
      <c r="K7" s="8" t="s">
        <v>218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pane ySplit="1" topLeftCell="A2" activePane="bottomLeft" state="frozen"/>
      <selection pane="bottomLeft" activeCell="A11" sqref="A11"/>
    </sheetView>
  </sheetViews>
  <sheetFormatPr baseColWidth="10" defaultColWidth="9" defaultRowHeight="14.25"/>
  <cols>
    <col min="1" max="1" width="26" customWidth="1"/>
    <col min="2" max="2" width="16" customWidth="1"/>
    <col min="3" max="3" width="62" customWidth="1"/>
    <col min="4" max="4" width="32" customWidth="1"/>
  </cols>
  <sheetData>
    <row r="1" spans="1:4" ht="15">
      <c r="A1" s="2" t="s">
        <v>244</v>
      </c>
      <c r="B1" s="2" t="s">
        <v>6</v>
      </c>
      <c r="C1" s="2" t="s">
        <v>245</v>
      </c>
      <c r="D1" s="2" t="s">
        <v>216</v>
      </c>
    </row>
    <row r="2" spans="1:4">
      <c r="A2" s="18" t="s">
        <v>246</v>
      </c>
      <c r="B2" s="9">
        <v>46023</v>
      </c>
      <c r="C2" s="18" t="s">
        <v>247</v>
      </c>
      <c r="D2" s="18" t="s">
        <v>248</v>
      </c>
    </row>
    <row r="3" spans="1:4">
      <c r="A3" s="18" t="s">
        <v>249</v>
      </c>
      <c r="B3" s="9">
        <v>46203</v>
      </c>
      <c r="C3" s="18" t="s">
        <v>250</v>
      </c>
      <c r="D3" s="18" t="s">
        <v>248</v>
      </c>
    </row>
    <row r="4" spans="1:4">
      <c r="A4" s="18" t="s">
        <v>251</v>
      </c>
      <c r="B4" s="8">
        <v>6</v>
      </c>
      <c r="C4" s="18" t="s">
        <v>252</v>
      </c>
      <c r="D4" s="18" t="s">
        <v>253</v>
      </c>
    </row>
    <row r="5" spans="1:4">
      <c r="A5" s="18"/>
      <c r="B5" s="18"/>
      <c r="C5" s="18"/>
      <c r="D5" s="18"/>
    </row>
    <row r="6" spans="1:4" ht="15">
      <c r="A6" s="21" t="s">
        <v>65</v>
      </c>
      <c r="B6" s="21" t="s">
        <v>66</v>
      </c>
      <c r="C6" s="21" t="s">
        <v>254</v>
      </c>
      <c r="D6" s="21" t="s">
        <v>216</v>
      </c>
    </row>
    <row r="7" spans="1:4" ht="28.5">
      <c r="A7" s="18" t="s">
        <v>98</v>
      </c>
      <c r="B7" s="22">
        <v>0.2</v>
      </c>
      <c r="C7" s="18" t="s">
        <v>255</v>
      </c>
      <c r="D7" s="18" t="s">
        <v>248</v>
      </c>
    </row>
    <row r="8" spans="1:4">
      <c r="A8" s="18" t="s">
        <v>79</v>
      </c>
      <c r="B8" s="22">
        <v>0.08</v>
      </c>
      <c r="C8" s="18" t="s">
        <v>256</v>
      </c>
      <c r="D8" s="18" t="s">
        <v>248</v>
      </c>
    </row>
    <row r="9" spans="1:4">
      <c r="A9" s="18" t="s">
        <v>130</v>
      </c>
      <c r="B9" s="22">
        <v>0.05</v>
      </c>
      <c r="C9" s="18" t="s">
        <v>257</v>
      </c>
      <c r="D9" s="18" t="s">
        <v>248</v>
      </c>
    </row>
    <row r="10" spans="1:4">
      <c r="A10" s="18" t="s">
        <v>107</v>
      </c>
      <c r="B10" s="22">
        <v>0.1</v>
      </c>
      <c r="C10" s="18" t="s">
        <v>258</v>
      </c>
      <c r="D10" s="18" t="s">
        <v>248</v>
      </c>
    </row>
    <row r="11" spans="1:4">
      <c r="A11" s="18" t="s">
        <v>102</v>
      </c>
      <c r="B11" s="22">
        <v>0.06</v>
      </c>
      <c r="C11" s="18" t="s">
        <v>259</v>
      </c>
      <c r="D11" s="18" t="s">
        <v>248</v>
      </c>
    </row>
    <row r="12" spans="1:4">
      <c r="A12" s="18" t="s">
        <v>75</v>
      </c>
      <c r="B12" s="22">
        <v>0</v>
      </c>
      <c r="C12" s="18" t="s">
        <v>260</v>
      </c>
      <c r="D12" s="18" t="s">
        <v>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26" customWidth="1"/>
    <col min="2" max="2" width="24" customWidth="1"/>
    <col min="3" max="3" width="72" customWidth="1"/>
  </cols>
  <sheetData>
    <row r="1" spans="1:3" ht="15">
      <c r="A1" s="2" t="s">
        <v>261</v>
      </c>
      <c r="B1" s="2" t="s">
        <v>7</v>
      </c>
      <c r="C1" s="2" t="s">
        <v>262</v>
      </c>
    </row>
    <row r="2" spans="1:3">
      <c r="A2" s="18" t="s">
        <v>47</v>
      </c>
      <c r="B2" s="18" t="s">
        <v>10</v>
      </c>
      <c r="C2" s="18" t="s">
        <v>263</v>
      </c>
    </row>
    <row r="3" spans="1:3">
      <c r="A3" s="18" t="s">
        <v>48</v>
      </c>
      <c r="B3" s="18" t="s">
        <v>10</v>
      </c>
      <c r="C3" s="18" t="s">
        <v>264</v>
      </c>
    </row>
    <row r="4" spans="1:3">
      <c r="A4" s="18" t="s">
        <v>50</v>
      </c>
      <c r="B4" s="18" t="s">
        <v>10</v>
      </c>
      <c r="C4" s="18" t="s">
        <v>265</v>
      </c>
    </row>
    <row r="5" spans="1:3">
      <c r="A5" s="18" t="s">
        <v>51</v>
      </c>
      <c r="B5" s="18" t="s">
        <v>10</v>
      </c>
      <c r="C5" s="18" t="s">
        <v>266</v>
      </c>
    </row>
    <row r="6" spans="1:3">
      <c r="A6" s="18" t="s">
        <v>52</v>
      </c>
      <c r="B6" s="18" t="s">
        <v>10</v>
      </c>
      <c r="C6" s="18" t="s">
        <v>266</v>
      </c>
    </row>
    <row r="7" spans="1:3">
      <c r="A7" s="18" t="s">
        <v>53</v>
      </c>
      <c r="B7" s="18" t="s">
        <v>10</v>
      </c>
      <c r="C7" s="18" t="s">
        <v>267</v>
      </c>
    </row>
    <row r="8" spans="1:3">
      <c r="A8" s="18" t="s">
        <v>54</v>
      </c>
      <c r="B8" s="18" t="s">
        <v>10</v>
      </c>
      <c r="C8" s="18" t="s">
        <v>268</v>
      </c>
    </row>
    <row r="9" spans="1:3">
      <c r="A9" s="18" t="s">
        <v>55</v>
      </c>
      <c r="B9" s="18" t="s">
        <v>10</v>
      </c>
      <c r="C9" s="18" t="s">
        <v>269</v>
      </c>
    </row>
    <row r="10" spans="1:3">
      <c r="A10" s="18" t="s">
        <v>56</v>
      </c>
      <c r="B10" s="18" t="s">
        <v>10</v>
      </c>
      <c r="C10" s="18" t="s">
        <v>270</v>
      </c>
    </row>
    <row r="11" spans="1:3">
      <c r="A11" s="18" t="s">
        <v>57</v>
      </c>
      <c r="B11" s="18" t="s">
        <v>10</v>
      </c>
      <c r="C11" s="18" t="s">
        <v>271</v>
      </c>
    </row>
    <row r="12" spans="1:3">
      <c r="A12" s="18" t="s">
        <v>58</v>
      </c>
      <c r="B12" s="18" t="s">
        <v>10</v>
      </c>
      <c r="C12" s="18" t="s">
        <v>272</v>
      </c>
    </row>
    <row r="13" spans="1:3">
      <c r="A13" s="18" t="s">
        <v>59</v>
      </c>
      <c r="B13" s="18" t="s">
        <v>10</v>
      </c>
      <c r="C13" s="18" t="s">
        <v>273</v>
      </c>
    </row>
    <row r="14" spans="1:3">
      <c r="A14" s="18" t="s">
        <v>60</v>
      </c>
      <c r="B14" s="18" t="s">
        <v>10</v>
      </c>
      <c r="C14" s="18" t="s">
        <v>274</v>
      </c>
    </row>
    <row r="15" spans="1:3">
      <c r="A15" s="18" t="s">
        <v>61</v>
      </c>
      <c r="B15" s="18" t="s">
        <v>10</v>
      </c>
      <c r="C15" s="18" t="s">
        <v>275</v>
      </c>
    </row>
    <row r="16" spans="1:3">
      <c r="A16" s="18" t="s">
        <v>62</v>
      </c>
      <c r="B16" s="18" t="s">
        <v>10</v>
      </c>
      <c r="C16" s="18" t="s">
        <v>276</v>
      </c>
    </row>
    <row r="17" spans="1:3">
      <c r="A17" s="18" t="s">
        <v>63</v>
      </c>
      <c r="B17" s="18" t="s">
        <v>10</v>
      </c>
      <c r="C17" s="18" t="s">
        <v>277</v>
      </c>
    </row>
    <row r="18" spans="1:3">
      <c r="A18" s="18" t="s">
        <v>64</v>
      </c>
      <c r="B18" s="18" t="s">
        <v>10</v>
      </c>
      <c r="C18" s="18" t="s">
        <v>278</v>
      </c>
    </row>
    <row r="19" spans="1:3">
      <c r="A19" s="18" t="s">
        <v>65</v>
      </c>
      <c r="B19" s="18" t="s">
        <v>10</v>
      </c>
      <c r="C19" s="18" t="s">
        <v>279</v>
      </c>
    </row>
    <row r="20" spans="1:3">
      <c r="A20" s="18" t="s">
        <v>66</v>
      </c>
      <c r="B20" s="18" t="s">
        <v>10</v>
      </c>
      <c r="C20" s="18" t="s">
        <v>280</v>
      </c>
    </row>
    <row r="21" spans="1:3">
      <c r="A21" s="18" t="s">
        <v>12</v>
      </c>
      <c r="B21" s="18" t="s">
        <v>10</v>
      </c>
      <c r="C21" s="18" t="s">
        <v>281</v>
      </c>
    </row>
    <row r="22" spans="1:3">
      <c r="A22" s="18" t="s">
        <v>67</v>
      </c>
      <c r="B22" s="18" t="s">
        <v>10</v>
      </c>
      <c r="C22" s="18" t="s">
        <v>282</v>
      </c>
    </row>
    <row r="23" spans="1:3">
      <c r="A23" s="18" t="s">
        <v>15</v>
      </c>
      <c r="B23" s="18" t="s">
        <v>10</v>
      </c>
      <c r="C23" s="18" t="s">
        <v>283</v>
      </c>
    </row>
    <row r="24" spans="1:3">
      <c r="A24" s="18" t="s">
        <v>13</v>
      </c>
      <c r="B24" s="18" t="s">
        <v>13</v>
      </c>
      <c r="C24" s="18" t="s">
        <v>284</v>
      </c>
    </row>
    <row r="25" spans="1:3">
      <c r="A25" s="18" t="s">
        <v>16</v>
      </c>
      <c r="B25" s="18" t="s">
        <v>16</v>
      </c>
      <c r="C25" s="18" t="s">
        <v>285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F8D4-7154-41FE-A176-FF20195A9185}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Project Overview</vt:lpstr>
      <vt:lpstr>Maintenance Spend Data</vt:lpstr>
      <vt:lpstr>Analysis</vt:lpstr>
      <vt:lpstr>Savings Opportunities</vt:lpstr>
      <vt:lpstr>Vendor Master</vt:lpstr>
      <vt:lpstr>Property Master</vt:lpstr>
      <vt:lpstr>Assumptions</vt:lpstr>
      <vt:lpstr>Data Dictionary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Fuentes</dc:creator>
  <cp:lastModifiedBy>Giovanna Fuentes Salas</cp:lastModifiedBy>
  <dcterms:created xsi:type="dcterms:W3CDTF">2026-10-21T16:03:39Z</dcterms:created>
  <dcterms:modified xsi:type="dcterms:W3CDTF">2026-10-21T16:03:39Z</dcterms:modified>
</cp:coreProperties>
</file>